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roject Details" state="visible" r:id="rId4"/>
    <sheet sheetId="2" name="BOQ + Margin" state="visible" r:id="rId5"/>
    <sheet sheetId="3" name="Project Schedule" state="visible" r:id="rId6"/>
    <sheet sheetId="4" name="Material Plan" state="visible" r:id="rId7"/>
    <sheet sheetId="5" name="Billing Milestones" state="visible" r:id="rId8"/>
    <sheet sheetId="6" name="Scope of Work" state="visible" r:id="rId9"/>
  </sheets>
  <calcPr calcId="171027"/>
</workbook>
</file>

<file path=xl/sharedStrings.xml><?xml version="1.0" encoding="utf-8"?>
<sst xmlns="http://schemas.openxmlformats.org/spreadsheetml/2006/main" count="630" uniqueCount="260">
  <si>
    <t>THE HABITAINER — PROJECT SETUP TEMPLATE  |  Fill and upload to HStack</t>
  </si>
  <si>
    <t>Version 1.0  |  This file is downloaded from HStack when a new project is approved. Project Details (grey fields) are pre-filled from the app. Fill white fields only. Upload via Projects → [Project] → Overview → Upload Project Setup.</t>
  </si>
  <si>
    <t xml:space="preserve">  🔒 Grey = Pre-filled from HStack (do not change)      ✏ White = Fill this in      🔽 = Dropdown — click to select      ₹ = Enter number only, no commas</t>
  </si>
  <si>
    <t xml:space="preserve">  PROJECT IDENTIFICATION</t>
  </si>
  <si>
    <t>Project Code</t>
  </si>
  <si>
    <t>ALTR/2026/XXX</t>
  </si>
  <si>
    <t>Project Name</t>
  </si>
  <si>
    <t>Division</t>
  </si>
  <si>
    <t>Production System</t>
  </si>
  <si>
    <t>Client Name</t>
  </si>
  <si>
    <t>Client Email</t>
  </si>
  <si>
    <t>Client Phone</t>
  </si>
  <si>
    <t>Site Location</t>
  </si>
  <si>
    <t>Site City</t>
  </si>
  <si>
    <t>Site State</t>
  </si>
  <si>
    <t>Sales Owner</t>
  </si>
  <si>
    <t>John Kunnath</t>
  </si>
  <si>
    <t>Project Manager</t>
  </si>
  <si>
    <t>Suraj Rao</t>
  </si>
  <si>
    <t xml:space="preserve">  COMMERCIAL DETAILS</t>
  </si>
  <si>
    <t>Contract Value (₹)</t>
  </si>
  <si>
    <t>Contract Start Date</t>
  </si>
  <si>
    <t>Expected Delivery Date</t>
  </si>
  <si>
    <t>Number of Modules</t>
  </si>
  <si>
    <t>Number of Panels</t>
  </si>
  <si>
    <t>GST Applicable</t>
  </si>
  <si>
    <t>Yes</t>
  </si>
  <si>
    <t>GST Rate (%)</t>
  </si>
  <si>
    <t>18</t>
  </si>
  <si>
    <t xml:space="preserve">  TEAM ASSIGNMENT</t>
  </si>
  <si>
    <t>Production Head</t>
  </si>
  <si>
    <t>Azad Ali</t>
  </si>
  <si>
    <t>Site Installation Manager</t>
  </si>
  <si>
    <t>Awaiz Ahmed</t>
  </si>
  <si>
    <t>Planning Engineer</t>
  </si>
  <si>
    <t>Karthik</t>
  </si>
  <si>
    <t>Costing Engineer</t>
  </si>
  <si>
    <t>Mohammed Nakeem</t>
  </si>
  <si>
    <t>Operations Architect</t>
  </si>
  <si>
    <t>Venkat</t>
  </si>
  <si>
    <t>BOQ — BILL OF QUANTITIES  |  Tender + GFC Quantities &amp; Rates  |  Auto-calculates Margins</t>
  </si>
  <si>
    <t>ℹ  Blue columns = Tender (fill at project start). Teal columns = GFC (fill after H1 sign-off). Black columns = auto-calculated (do not edit). All rates in ₹ per unit.</t>
  </si>
  <si>
    <t>ITEM DETAILS</t>
  </si>
  <si>
    <t>TENDER</t>
  </si>
  <si>
    <t>GFC</t>
  </si>
  <si>
    <t>QUANTITY</t>
  </si>
  <si>
    <t>RATES (₹)</t>
  </si>
  <si>
    <t>AMOUNTS (₹)</t>
  </si>
  <si>
    <t>MARGIN</t>
  </si>
  <si>
    <t>SCOPE</t>
  </si>
  <si>
    <t>S.No</t>
  </si>
  <si>
    <t>Category</t>
  </si>
  <si>
    <t>Item Description</t>
  </si>
  <si>
    <t>Unit</t>
  </si>
  <si>
    <t>Tender Qty</t>
  </si>
  <si>
    <t>GFC Qty</t>
  </si>
  <si>
    <t>Wastage %</t>
  </si>
  <si>
    <t xml:space="preserve">BOQ Qty
(auto)</t>
  </si>
  <si>
    <t xml:space="preserve">Material
Rate ₹</t>
  </si>
  <si>
    <t xml:space="preserve">Labour
Rate ₹</t>
  </si>
  <si>
    <t xml:space="preserve">OH
Rate ₹</t>
  </si>
  <si>
    <t xml:space="preserve">BOQ Rate ₹
(auto)</t>
  </si>
  <si>
    <t xml:space="preserve">Tender
Amount ₹</t>
  </si>
  <si>
    <t xml:space="preserve">GFC
Amount ₹</t>
  </si>
  <si>
    <t>Margin %</t>
  </si>
  <si>
    <t>Scope</t>
  </si>
  <si>
    <t xml:space="preserve">  ▶  SUB-FRAME FABRICATION</t>
  </si>
  <si>
    <t>Sub-Frame Fabrication</t>
  </si>
  <si>
    <t>Structural steel — Beams, Columns / Framed Structure</t>
  </si>
  <si>
    <t>KG</t>
  </si>
  <si>
    <t>Habitainer</t>
  </si>
  <si>
    <t>LGSF — Wall framing</t>
  </si>
  <si>
    <t>LGSF — C-Channel sections</t>
  </si>
  <si>
    <t xml:space="preserve">  ▶  STRUCTURAL / MAIN FRAME</t>
  </si>
  <si>
    <t>Structural / Main Frame</t>
  </si>
  <si>
    <t>Deck Sheet 1.0mm — Floor &amp; Roof</t>
  </si>
  <si>
    <t>Welded Wire Mesh 2.5mm 50mm C/C</t>
  </si>
  <si>
    <t>Chicken Wire Mesh 1mm 25mm</t>
  </si>
  <si>
    <t>EPS Thermocol Sheet</t>
  </si>
  <si>
    <t>Nos</t>
  </si>
  <si>
    <t>Self Drilling Screws</t>
  </si>
  <si>
    <t>Roofing Concrete Plain Cement Mortar</t>
  </si>
  <si>
    <t>CFT</t>
  </si>
  <si>
    <t xml:space="preserve">  ▶  INSULATION</t>
  </si>
  <si>
    <t>Insulation</t>
  </si>
  <si>
    <t>Rockwool Slab 48kg 50mm — Inner Wall</t>
  </si>
  <si>
    <t>SFT</t>
  </si>
  <si>
    <t>4mm Aluminium Bubble Wrap Heat Barrier</t>
  </si>
  <si>
    <t>SQM</t>
  </si>
  <si>
    <t xml:space="preserve">  ▶  INTERNAL WALL PANELLING</t>
  </si>
  <si>
    <t>Internal Wall Panelling</t>
  </si>
  <si>
    <t>Saint-Gobain Habit Board 13mm — Inner Wall</t>
  </si>
  <si>
    <t>Toilet Cement Board</t>
  </si>
  <si>
    <t>Jointing Compound</t>
  </si>
  <si>
    <t>Corner Tape</t>
  </si>
  <si>
    <t>MTR</t>
  </si>
  <si>
    <t xml:space="preserve">  ▶  EXTERNAL CLADDING</t>
  </si>
  <si>
    <t>External Cladding</t>
  </si>
  <si>
    <t>Shera Neu Wall Board 2440x1220x10mm — External</t>
  </si>
  <si>
    <t>Shera Plank — Exterior Finish</t>
  </si>
  <si>
    <t>Silicon Sealant — External Joints</t>
  </si>
  <si>
    <t>Tubes</t>
  </si>
  <si>
    <t xml:space="preserve">  ▶  CEILING</t>
  </si>
  <si>
    <t>Ceiling</t>
  </si>
  <si>
    <t>Gypsum Board 12.5mm — Ceiling</t>
  </si>
  <si>
    <t>Moisture-Resistant Gypsum — Toilets</t>
  </si>
  <si>
    <t>Ceiling Grid Frame</t>
  </si>
  <si>
    <t xml:space="preserve">  ▶  FLOORING</t>
  </si>
  <si>
    <t>Flooring</t>
  </si>
  <si>
    <t>Vitrified Flooring and Tile Dadoing</t>
  </si>
  <si>
    <t>Wooden Flooring — Single Units</t>
  </si>
  <si>
    <t>Tile Adhesive</t>
  </si>
  <si>
    <t>Tile Grout</t>
  </si>
  <si>
    <t>Waterproofing Membrane</t>
  </si>
  <si>
    <t xml:space="preserve">  ▶  PAINTING</t>
  </si>
  <si>
    <t>Painting</t>
  </si>
  <si>
    <t>Internal Painting (Compound, Putty 2 coat, Primer 1, Paint 2)</t>
  </si>
  <si>
    <t>Waterproof Paint — Wet Areas (2 coats)</t>
  </si>
  <si>
    <t>External Paint</t>
  </si>
  <si>
    <t xml:space="preserve">  ▶  MEP — ELECTRICAL</t>
  </si>
  <si>
    <t>MEP — Electrical</t>
  </si>
  <si>
    <t>Concealed Items — Electrical (Conduit, GI Boxes, Wires)</t>
  </si>
  <si>
    <t>Lot</t>
  </si>
  <si>
    <t>Electrical Fixtures (Sockets, Switches, Lights)</t>
  </si>
  <si>
    <t>DB / MDB — Distribution Board</t>
  </si>
  <si>
    <t>AC Copper Piping 1.5MT</t>
  </si>
  <si>
    <t xml:space="preserve">  ▶  MEP — PLUMBING</t>
  </si>
  <si>
    <t>MEP — Plumbing</t>
  </si>
  <si>
    <t>Concealed Items — Plumbing (CPVC/PPR Pipes, Fittings)</t>
  </si>
  <si>
    <t>Plumbing Fixtures (Taps, Showers, WC, Basin)</t>
  </si>
  <si>
    <t>Drain Pipes and Fittings</t>
  </si>
  <si>
    <t xml:space="preserve">  ▶  WINDOWS &amp; DOORS</t>
  </si>
  <si>
    <t>Windows &amp; Doors</t>
  </si>
  <si>
    <t>Aluminium Glass Windows</t>
  </si>
  <si>
    <t>Aluminium Vents</t>
  </si>
  <si>
    <t>Wooden Doors — Internal</t>
  </si>
  <si>
    <t>External Doors — Main Entry</t>
  </si>
  <si>
    <t>Door Hardware (Hinges, Locks, Handles)</t>
  </si>
  <si>
    <t>Lots</t>
  </si>
  <si>
    <t>Door Architrave and Threshold</t>
  </si>
  <si>
    <t xml:space="preserve">  ▶  EXTERNAL FINISHING</t>
  </si>
  <si>
    <t>External Finishing</t>
  </si>
  <si>
    <t>MS Flashing at Roof/Wall Junctions</t>
  </si>
  <si>
    <t>Rain Water Gutter PVC</t>
  </si>
  <si>
    <t>SS Railings (if in scope)</t>
  </si>
  <si>
    <t>RFT</t>
  </si>
  <si>
    <t xml:space="preserve">  ▶  CARPENTRY</t>
  </si>
  <si>
    <t>Carpentry</t>
  </si>
  <si>
    <t>Cabinets — Kitchen / Wardrobes / Shelving</t>
  </si>
  <si>
    <t>Backsplash Tiling and Countertop</t>
  </si>
  <si>
    <t xml:space="preserve">  ▶  SITE WORKS</t>
  </si>
  <si>
    <t>Site Works</t>
  </si>
  <si>
    <t>Foundation Bolts and Anchor Plates</t>
  </si>
  <si>
    <t>Anti-termite Treatment</t>
  </si>
  <si>
    <t>Site Electricity Connection</t>
  </si>
  <si>
    <t>Roof Screeding 50mm</t>
  </si>
  <si>
    <t>TOTAL</t>
  </si>
  <si>
    <t>MARGIN SUMMARY — Contract vs Tender vs GFC</t>
  </si>
  <si>
    <t>Tender BOQ Total (₹)</t>
  </si>
  <si>
    <t>Tender Margin (₹)</t>
  </si>
  <si>
    <t>Tender Margin %</t>
  </si>
  <si>
    <t>GFC BOQ Total (₹)</t>
  </si>
  <si>
    <t>GFC Margin (₹)</t>
  </si>
  <si>
    <t>GFC Margin %</t>
  </si>
  <si>
    <t>Tender vs GFC Variance (₹)</t>
  </si>
  <si>
    <t>Variance %</t>
  </si>
  <si>
    <t>PROJECT SCHEDULE — Factory Stages Only  |  Fill Planned Start &amp; End Dates per Module</t>
  </si>
  <si>
    <t>ℹ  Fill ONLY the white cells (Planned Start and Planned End). Use DD/MM/YYYY format. Mark N/A in the Notes column if a stage does not apply to this project. Site stage dates are filled by Awaiz in HStack 14 days before dispatch.</t>
  </si>
  <si>
    <t xml:space="preserve">  🟢 Factory stages — Karthik fills dates       🔵 Site stages — Karthik fills in HStack 14 days before dispatch (14 days before dispatch) — DO NOT fill here</t>
  </si>
  <si>
    <t>#</t>
  </si>
  <si>
    <t>Stage Name</t>
  </si>
  <si>
    <t xml:space="preserve">Module #
(if multi)</t>
  </si>
  <si>
    <t xml:space="preserve">Planned Start
(DD/MM/YYYY)</t>
  </si>
  <si>
    <t xml:space="preserve">Planned End
(DD/MM/YYYY)</t>
  </si>
  <si>
    <t xml:space="preserve">Duration
(Days, auto)</t>
  </si>
  <si>
    <t>Notes / N/A</t>
  </si>
  <si>
    <t xml:space="preserve">  FACTORY STAGES — Karthik fills dates</t>
  </si>
  <si>
    <t>Main Frame</t>
  </si>
  <si>
    <t>Sub Frame — Panel Production  ⟵  parallel to Main Frame</t>
  </si>
  <si>
    <t>Drywall Works Completion</t>
  </si>
  <si>
    <t>MEP Rough In</t>
  </si>
  <si>
    <t>Internal Painting</t>
  </si>
  <si>
    <t>Tiling  ⟵  parallel to Internal Painting</t>
  </si>
  <si>
    <t>Exterior Wall Finishing</t>
  </si>
  <si>
    <t>Internal Wall Finishing  ⟵  mark N/A if not in scope</t>
  </si>
  <si>
    <t>MEP Final</t>
  </si>
  <si>
    <t>Finishing</t>
  </si>
  <si>
    <t>Snagging</t>
  </si>
  <si>
    <t>QC Inspection</t>
  </si>
  <si>
    <t>Dispatch</t>
  </si>
  <si>
    <t xml:space="preserve">  SITE STAGES — Karthik fills in HStack 14 days before dispatch (14 days before dispatch) — leave blank here</t>
  </si>
  <si>
    <t>Erection</t>
  </si>
  <si>
    <t>Karthik fills in HStack 14 days before dispatch</t>
  </si>
  <si>
    <t>Marriage Line</t>
  </si>
  <si>
    <t>On Site External Finishing</t>
  </si>
  <si>
    <t>Steel Extensions  ⟵  mark N/A if not in scope</t>
  </si>
  <si>
    <t>On Site MEP</t>
  </si>
  <si>
    <t>On Site Internal Finishing</t>
  </si>
  <si>
    <t>Snagging (Site)</t>
  </si>
  <si>
    <t>Handover</t>
  </si>
  <si>
    <t>MATERIAL PLAN — Pre-Populated Standard Materials  |  Fill Tender Qty and Dates</t>
  </si>
  <si>
    <t>ℹ  Standard Habitainer materials are pre-listed. Fill: Tender Qty, PO Release Date, Delivery Date. Add rows for project-specific materials. All dates in DD/MM/YYYY. Status is auto-calculated by HStack after upload.</t>
  </si>
  <si>
    <t xml:space="preserve">  🟦 White cells = Fill in   🔒 Grey cells = Pre-filled     PO Release Date = when to raise PO with vendor     Delivery Date = when material must arrive at factory/site</t>
  </si>
  <si>
    <t>Section</t>
  </si>
  <si>
    <t>Material</t>
  </si>
  <si>
    <t xml:space="preserve">Tender
Qty</t>
  </si>
  <si>
    <t xml:space="preserve">Ordered
Qty</t>
  </si>
  <si>
    <t xml:space="preserve">PO Release
Date</t>
  </si>
  <si>
    <t xml:space="preserve">Delivery
Date (Target)</t>
  </si>
  <si>
    <t>Destination</t>
  </si>
  <si>
    <t>Notes</t>
  </si>
  <si>
    <t xml:space="preserve">  SHELL AND CORE</t>
  </si>
  <si>
    <t>Shell and Core</t>
  </si>
  <si>
    <t>Structural Steel — Beams, Columns / Framed Structure</t>
  </si>
  <si>
    <t>Factory</t>
  </si>
  <si>
    <t>LGSF — Wall Framing</t>
  </si>
  <si>
    <t>LGSF — C-Channel Sections</t>
  </si>
  <si>
    <t>Roofing Concrete Mix</t>
  </si>
  <si>
    <t xml:space="preserve">  INSULATION &amp; BOARDING</t>
  </si>
  <si>
    <t>Insulation &amp; Boarding</t>
  </si>
  <si>
    <t xml:space="preserve">  SEALING &amp; WATERPROOFING</t>
  </si>
  <si>
    <t>Sealing &amp; Waterproofing</t>
  </si>
  <si>
    <t>Caulking Compound</t>
  </si>
  <si>
    <t xml:space="preserve">  FLOORING &amp; TILING</t>
  </si>
  <si>
    <t>Flooring &amp; Tiling</t>
  </si>
  <si>
    <t xml:space="preserve">  PAINTING</t>
  </si>
  <si>
    <t>Internal Painting (Compound, Putty, Primer, Paint)</t>
  </si>
  <si>
    <t>Waterproof Paint — Wet Areas</t>
  </si>
  <si>
    <t>Exterior Paint</t>
  </si>
  <si>
    <t xml:space="preserve">  WINDOWS &amp; DOORS</t>
  </si>
  <si>
    <t>Door Architrave and Threshold Seal</t>
  </si>
  <si>
    <t xml:space="preserve">  MEP — ELECTRICAL</t>
  </si>
  <si>
    <t>Concealed Electrical Items (Conduit, GI Boxes)</t>
  </si>
  <si>
    <t>Distribution Board / MDB</t>
  </si>
  <si>
    <t xml:space="preserve">  MEP — PLUMBING</t>
  </si>
  <si>
    <t>Concealed Plumbing (CPVC/PPR Pipes, Fittings)</t>
  </si>
  <si>
    <t>Plumbing Fixtures (Taps, Shower, WC, Basin)</t>
  </si>
  <si>
    <t xml:space="preserve">  CARPENTRY &amp; FINISHES</t>
  </si>
  <si>
    <t>Carpentry &amp; Finishes</t>
  </si>
  <si>
    <t>Kitchen Cabinets / Wardrobes / Shelving</t>
  </si>
  <si>
    <t>Skirting — Wooden or Tile</t>
  </si>
  <si>
    <t>Staircase (if in scope)</t>
  </si>
  <si>
    <t xml:space="preserve">  SITE WORKS</t>
  </si>
  <si>
    <t>Temporary Site Facilities</t>
  </si>
  <si>
    <t>BILLING MILESTONES  |  Payment Schedule for this Project</t>
  </si>
  <si>
    <t>ℹ  Fill one row per payment milestone. % must total 100. GST Applicable = Y or N. Trigger Event describes what unlocks the invoice (e.g. Work Order Signed, Dispatch, Handover). Amounts are computed by HStack from the contract value after upload.</t>
  </si>
  <si>
    <t xml:space="preserve">  🟦 White cells = Fill in     Valid GST Applicable values: Y / N     Leave # blank to auto-number</t>
  </si>
  <si>
    <t>Milestone Description</t>
  </si>
  <si>
    <t>%</t>
  </si>
  <si>
    <t>GST Applicable (Y/N)</t>
  </si>
  <si>
    <t>Trigger Event</t>
  </si>
  <si>
    <t/>
  </si>
  <si>
    <t>Y</t>
  </si>
  <si>
    <t>SCOPE OF WORK  |  Area-wise Responsibility Split</t>
  </si>
  <si>
    <t>ℹ  One row per scope item. Area groups items (e.g. Shell and Core, Interiors, External Works). Scope decides who delivers the item.</t>
  </si>
  <si>
    <t xml:space="preserve">  Valid Scope values: Habitainer / External Contractor / TBD     (TBD or anything else = Not in Scope)</t>
  </si>
  <si>
    <t>Area</t>
  </si>
  <si>
    <t>Item</t>
  </si>
  <si>
    <t>External Contractor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</si>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</sst>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₹#,##0"/>
  </numFmts>
  <fonts count="31" x14ac:knownFonts="1">
    <font>
      <color theme="1"/>
      <family val="2"/>
      <scheme val="minor"/>
      <sz val="11"/>
      <name val="Calibri"/>
    </font>
    <font>
      <b/>
      <color rgb="00FFFFFF"/>
      <sz val="13"/>
      <name val="Arial"/>
    </font>
    <font>
      <i/>
      <color rgb="004A4A4A"/>
      <sz val="8"/>
      <name val="Arial"/>
    </font>
    <font>
      <i/>
      <color rgb="00006039"/>
      <sz val="8"/>
      <name val="Arial"/>
    </font>
    <font>
      <b/>
      <color rgb="00FFFFFF"/>
      <sz val="10"/>
      <name val="Arial"/>
    </font>
    <font>
      <b/>
      <color rgb="004A4A4A"/>
      <sz val="9"/>
      <name val="Arial"/>
    </font>
    <font>
      <color rgb="004A4A4A"/>
      <sz val="10"/>
      <name val="Arial"/>
    </font>
    <font>
      <color rgb="001A1A1A"/>
      <sz val="10"/>
      <name val="Arial"/>
    </font>
    <font>
      <color rgb="000000FF"/>
      <sz val="10"/>
      <name val="Arial"/>
    </font>
    <font>
      <i/>
      <color rgb="00D4860A"/>
      <sz val="8"/>
      <name val="Arial"/>
    </font>
    <font>
      <b/>
      <color rgb="00FFFFFF"/>
      <sz val="9"/>
      <name val="Arial"/>
    </font>
    <font>
      <b/>
      <color rgb="00006039"/>
      <sz val="9"/>
      <name val="Arial"/>
    </font>
    <font>
      <color rgb="001A1A1A"/>
      <sz val="8"/>
      <name val="Arial"/>
    </font>
    <font>
      <color rgb="001A1A1A"/>
      <sz val="9"/>
      <name val="Arial"/>
    </font>
    <font>
      <color rgb="000000FF"/>
      <sz val="8"/>
      <name val="Arial"/>
    </font>
    <font>
      <color rgb="00000000"/>
      <sz val="9"/>
      <name val="Arial"/>
    </font>
    <font>
      <b/>
      <color rgb="00000000"/>
      <sz val="9"/>
      <name val="Arial"/>
    </font>
    <font>
      <b/>
      <color rgb="001E4D8C"/>
      <sz val="9"/>
      <name val="Arial"/>
    </font>
    <font>
      <b/>
      <color rgb="000E7490"/>
      <sz val="9"/>
      <name val="Arial"/>
    </font>
    <font>
      <b/>
      <color rgb="001E4D8C"/>
      <sz val="11"/>
      <name val="Arial"/>
    </font>
    <font>
      <b/>
      <color rgb="004A4A4A"/>
      <sz val="11"/>
      <name val="Arial"/>
    </font>
    <font>
      <b/>
      <color rgb="000E7490"/>
      <sz val="11"/>
      <name val="Arial"/>
    </font>
    <font>
      <b/>
      <color rgb="00D4860A"/>
      <sz val="11"/>
      <name val="Arial"/>
    </font>
    <font>
      <color rgb="000000FF"/>
      <sz val="9"/>
      <name val="Arial"/>
    </font>
    <font>
      <b/>
      <color rgb="00D4860A"/>
      <sz val="9"/>
      <name val="Arial"/>
    </font>
    <font>
      <b/>
      <color rgb="000E7490"/>
      <sz val="10"/>
      <name val="Arial"/>
    </font>
    <font>
      <color rgb="000E7490"/>
      <sz val="9"/>
      <name val="Arial"/>
    </font>
    <font>
      <i/>
      <color rgb="004A4A4A"/>
      <sz val="7"/>
      <name val="Arial"/>
    </font>
    <font>
      <b/>
      <color rgb="00006039"/>
      <sz val="10"/>
      <name val="Arial"/>
    </font>
    <font>
      <color rgb="004A4A4A"/>
      <sz val="8"/>
      <name val="Arial"/>
    </font>
    <font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00006039"/>
      </patternFill>
    </fill>
    <fill>
      <patternFill/>
    </fill>
    <fill>
      <patternFill patternType="solid">
        <fgColor rgb="00F7F7F7"/>
      </patternFill>
    </fill>
    <fill>
      <patternFill patternType="solid">
        <fgColor rgb="00E8F2ED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4A4A4A"/>
      </patternFill>
    </fill>
    <fill>
      <patternFill patternType="solid">
        <fgColor rgb="001E4D8C"/>
      </patternFill>
    </fill>
    <fill>
      <patternFill patternType="solid">
        <fgColor rgb="000E7490"/>
      </patternFill>
    </fill>
    <fill>
      <patternFill patternType="solid">
        <fgColor rgb="00D4860A"/>
      </patternFill>
    </fill>
    <fill>
      <patternFill patternType="solid">
        <fgColor rgb="00E8EEF8"/>
      </patternFill>
    </fill>
    <fill>
      <patternFill patternType="solid">
        <fgColor rgb="00E0F7FA"/>
      </patternFill>
    </fill>
    <fill>
      <patternFill patternType="solid">
        <fgColor rgb="00E5E5E5"/>
      </patternFill>
    </fill>
  </fills>
  <borders count="10">
    <border>
      <left/>
      <right/>
      <top/>
      <bottom/>
      <diagonal/>
    </border>
    <border>
      <left style="medium">
        <color rgb="00006039"/>
      </left>
      <right style="medium">
        <color rgb="00006039"/>
      </right>
      <top style="medium">
        <color rgb="00006039"/>
      </top>
      <bottom style="medium">
        <color rgb="00006039"/>
      </bottom>
      <diagonal/>
    </border>
    <border>
      <left/>
      <right/>
      <top style="medium">
        <color rgb="00006039"/>
      </top>
      <bottom style="medium">
        <color rgb="00006039"/>
      </bottom>
      <diagonal/>
    </border>
    <border>
      <left/>
      <right style="medium">
        <color rgb="00006039"/>
      </right>
      <top style="medium">
        <color rgb="00006039"/>
      </top>
      <bottom style="medium">
        <color rgb="00006039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006039"/>
      </left>
      <right style="thin">
        <color rgb="00006039"/>
      </right>
      <top style="thin">
        <color rgb="00006039"/>
      </top>
      <bottom style="thin">
        <color rgb="00006039"/>
      </bottom>
      <diagonal/>
    </border>
    <border>
      <left/>
      <right/>
      <top style="thin">
        <color rgb="00006039"/>
      </top>
      <bottom style="thin">
        <color rgb="00006039"/>
      </bottom>
      <diagonal/>
    </border>
    <border>
      <left/>
      <right style="thin">
        <color rgb="00006039"/>
      </right>
      <top style="thin">
        <color rgb="00006039"/>
      </top>
      <bottom style="thin">
        <color rgb="00006039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2" fillId="4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3" fillId="5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3" fontId="8" fillId="6" borderId="4" xfId="0" applyNumberFormat="1" applyFont="1" applyFill="1" applyBorder="1" applyAlignment="1">
      <alignment horizontal="left" vertical="center" wrapText="1"/>
    </xf>
    <xf numFmtId="1" fontId="8" fillId="6" borderId="4" xfId="0" applyNumberFormat="1" applyFont="1" applyFill="1" applyBorder="1" applyAlignment="1">
      <alignment horizontal="left" vertical="center" wrapText="1"/>
    </xf>
    <xf numFmtId="164" fontId="8" fillId="6" borderId="4" xfId="0" applyNumberFormat="1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0" fillId="3" borderId="8" xfId="0" applyFill="1" applyBorder="1"/>
    <xf numFmtId="0" fontId="0" fillId="3" borderId="9" xfId="0" applyFill="1" applyBorder="1"/>
    <xf numFmtId="0" fontId="1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4" fontId="8" fillId="12" borderId="4" xfId="0" applyNumberFormat="1" applyFont="1" applyFill="1" applyBorder="1" applyAlignment="1">
      <alignment horizontal="center" vertical="center" wrapText="1"/>
    </xf>
    <xf numFmtId="4" fontId="8" fillId="13" borderId="4" xfId="0" applyNumberFormat="1" applyFont="1" applyFill="1" applyBorder="1" applyAlignment="1">
      <alignment horizontal="center" vertical="center" wrapText="1"/>
    </xf>
    <xf numFmtId="9" fontId="8" fillId="4" borderId="4" xfId="0" applyNumberFormat="1" applyFont="1" applyFill="1" applyBorder="1" applyAlignment="1">
      <alignment horizontal="center" vertical="center" wrapText="1"/>
    </xf>
    <xf numFmtId="4" fontId="15" fillId="4" borderId="4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right" vertical="center" wrapText="1"/>
    </xf>
    <xf numFmtId="3" fontId="16" fillId="4" borderId="4" xfId="0" applyNumberFormat="1" applyFont="1" applyFill="1" applyBorder="1" applyAlignment="1">
      <alignment horizontal="right" vertical="center" wrapText="1"/>
    </xf>
    <xf numFmtId="3" fontId="17" fillId="12" borderId="4" xfId="0" applyNumberFormat="1" applyFont="1" applyFill="1" applyBorder="1" applyAlignment="1">
      <alignment horizontal="right" vertical="center" wrapText="1"/>
    </xf>
    <xf numFmtId="3" fontId="18" fillId="13" borderId="4" xfId="0" applyNumberFormat="1" applyFont="1" applyFill="1" applyBorder="1" applyAlignment="1">
      <alignment horizontal="right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right" vertical="center" wrapText="1"/>
    </xf>
    <xf numFmtId="165" fontId="4" fillId="9" borderId="4" xfId="0" applyNumberFormat="1" applyFont="1" applyFill="1" applyBorder="1" applyAlignment="1">
      <alignment horizontal="right" vertical="center" wrapText="1"/>
    </xf>
    <xf numFmtId="165" fontId="4" fillId="10" borderId="4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1" fillId="11" borderId="1" xfId="0" applyFont="1" applyFill="1" applyBorder="1" applyAlignment="1">
      <alignment horizontal="center" vertical="center" wrapText="1"/>
    </xf>
    <xf numFmtId="165" fontId="19" fillId="7" borderId="4" xfId="0" applyNumberFormat="1" applyFont="1" applyFill="1" applyBorder="1" applyAlignment="1">
      <alignment horizontal="right" vertical="center" wrapText="1"/>
    </xf>
    <xf numFmtId="165" fontId="20" fillId="7" borderId="4" xfId="0" applyNumberFormat="1" applyFont="1" applyFill="1" applyBorder="1" applyAlignment="1">
      <alignment horizontal="right" vertical="center" wrapText="1"/>
    </xf>
    <xf numFmtId="164" fontId="20" fillId="7" borderId="4" xfId="0" applyNumberFormat="1" applyFont="1" applyFill="1" applyBorder="1" applyAlignment="1">
      <alignment horizontal="right" vertical="center" wrapText="1"/>
    </xf>
    <xf numFmtId="165" fontId="21" fillId="7" borderId="4" xfId="0" applyNumberFormat="1" applyFont="1" applyFill="1" applyBorder="1" applyAlignment="1">
      <alignment horizontal="right" vertical="center" wrapText="1"/>
    </xf>
    <xf numFmtId="164" fontId="21" fillId="7" borderId="4" xfId="0" applyNumberFormat="1" applyFont="1" applyFill="1" applyBorder="1" applyAlignment="1">
      <alignment horizontal="right" vertical="center" wrapText="1"/>
    </xf>
    <xf numFmtId="165" fontId="22" fillId="7" borderId="4" xfId="0" applyNumberFormat="1" applyFont="1" applyFill="1" applyBorder="1" applyAlignment="1">
      <alignment horizontal="right" vertical="center" wrapText="1"/>
    </xf>
    <xf numFmtId="164" fontId="22" fillId="7" borderId="4" xfId="0" applyNumberFormat="1" applyFont="1" applyFill="1" applyBorder="1" applyAlignment="1">
      <alignment horizontal="righ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1" fontId="15" fillId="4" borderId="4" xfId="0" applyNumberFormat="1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horizontal="left" vertical="center" wrapText="1"/>
    </xf>
    <xf numFmtId="0" fontId="27" fillId="14" borderId="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left" vertical="center" wrapText="1"/>
    </xf>
    <xf numFmtId="4" fontId="8" fillId="4" borderId="4" xfId="0" applyNumberFormat="1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30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33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28" customWidth="1"/>
    <col min="3" max="3" width="6" customWidth="1"/>
    <col min="4" max="4" width="22" customWidth="1"/>
    <col min="5" max="5" width="28" customWidth="1"/>
  </cols>
  <sheetData>
    <row r="1" ht="30" customHeight="1" spans="1:5" x14ac:dyDescent="0.25">
      <c r="A1" s="1" t="s">
        <v>0</v>
      </c>
      <c r="B1" s="2"/>
      <c r="C1" s="2"/>
      <c r="D1" s="2"/>
      <c r="E1" s="3"/>
    </row>
    <row r="2" ht="14" customHeight="1" spans="1:5" x14ac:dyDescent="0.25">
      <c r="A2" s="4" t="s">
        <v>1</v>
      </c>
      <c r="B2" s="5"/>
      <c r="C2" s="5"/>
      <c r="D2" s="5"/>
      <c r="E2" s="6"/>
    </row>
    <row r="3" ht="14" customHeight="1" spans="1:5" x14ac:dyDescent="0.25">
      <c r="A3" s="7" t="s">
        <v>2</v>
      </c>
      <c r="B3"/>
      <c r="C3"/>
      <c r="D3"/>
      <c r="E3"/>
    </row>
    <row r="5" ht="22" customHeight="1" spans="1:5" x14ac:dyDescent="0.25">
      <c r="A5" s="8" t="s">
        <v>3</v>
      </c>
      <c r="B5" s="5"/>
      <c r="C5" s="5"/>
      <c r="D5" s="5"/>
      <c r="E5" s="6"/>
    </row>
    <row r="6" ht="20" customHeight="1" spans="1:5" x14ac:dyDescent="0.25">
      <c r="A6" s="9" t="s">
        <v>4</v>
      </c>
      <c r="B6" s="10" t="s">
        <v>5</v>
      </c>
      <c r="C6" s="11"/>
      <c r="D6" s="12"/>
      <c r="E6" s="13"/>
    </row>
    <row r="7" ht="20" customHeight="1" spans="1:5" x14ac:dyDescent="0.25">
      <c r="A7" s="9" t="s">
        <v>6</v>
      </c>
      <c r="B7" s="13"/>
      <c r="C7" s="11"/>
      <c r="D7" s="12"/>
      <c r="E7" s="13"/>
    </row>
    <row r="8" ht="20" customHeight="1" spans="1:5" x14ac:dyDescent="0.25">
      <c r="A8" s="9" t="s">
        <v>7</v>
      </c>
      <c r="B8" s="13"/>
      <c r="C8" s="11"/>
      <c r="D8" s="12"/>
      <c r="E8" s="13"/>
    </row>
    <row r="9" ht="20" customHeight="1" spans="1:5" x14ac:dyDescent="0.25">
      <c r="A9" s="9" t="s">
        <v>8</v>
      </c>
      <c r="B9" s="13"/>
      <c r="C9" s="11"/>
      <c r="D9" s="12"/>
      <c r="E9" s="13"/>
    </row>
    <row r="10" ht="20" customHeight="1" spans="1:5" x14ac:dyDescent="0.25">
      <c r="A10" s="9" t="s">
        <v>9</v>
      </c>
      <c r="B10" s="13"/>
      <c r="C10" s="11"/>
      <c r="D10" s="12"/>
      <c r="E10" s="13"/>
    </row>
    <row r="11" ht="20" customHeight="1" spans="1:5" x14ac:dyDescent="0.25">
      <c r="A11" s="9" t="s">
        <v>10</v>
      </c>
      <c r="B11" s="13"/>
      <c r="C11" s="11"/>
      <c r="D11" s="12"/>
      <c r="E11" s="13"/>
    </row>
    <row r="12" ht="20" customHeight="1" spans="1:5" x14ac:dyDescent="0.25">
      <c r="A12" s="9" t="s">
        <v>11</v>
      </c>
      <c r="B12" s="13"/>
      <c r="C12" s="11"/>
      <c r="D12" s="12"/>
      <c r="E12" s="13"/>
    </row>
    <row r="13" ht="20" customHeight="1" spans="1:5" x14ac:dyDescent="0.25">
      <c r="A13" s="9" t="s">
        <v>12</v>
      </c>
      <c r="B13" s="13"/>
      <c r="C13" s="11"/>
      <c r="D13" s="12"/>
      <c r="E13" s="13"/>
    </row>
    <row r="14" ht="20" customHeight="1" spans="1:5" x14ac:dyDescent="0.25">
      <c r="A14" s="9" t="s">
        <v>13</v>
      </c>
      <c r="B14" s="13"/>
      <c r="C14" s="11"/>
      <c r="D14" s="12"/>
      <c r="E14" s="13"/>
    </row>
    <row r="15" ht="20" customHeight="1" spans="1:5" x14ac:dyDescent="0.25">
      <c r="A15" s="9" t="s">
        <v>14</v>
      </c>
      <c r="B15" s="13"/>
      <c r="C15" s="11"/>
      <c r="D15" s="12"/>
      <c r="E15" s="13"/>
    </row>
    <row r="16" ht="20" customHeight="1" spans="1:5" x14ac:dyDescent="0.25">
      <c r="A16" s="9" t="s">
        <v>15</v>
      </c>
      <c r="B16" s="10" t="s">
        <v>16</v>
      </c>
      <c r="C16" s="11"/>
      <c r="D16" s="12"/>
      <c r="E16" s="13"/>
    </row>
    <row r="17" ht="20" customHeight="1" spans="1:5" x14ac:dyDescent="0.25">
      <c r="A17" s="9" t="s">
        <v>17</v>
      </c>
      <c r="B17" s="10" t="s">
        <v>18</v>
      </c>
      <c r="C17" s="11"/>
      <c r="D17" s="12"/>
      <c r="E17" s="13"/>
    </row>
    <row r="19" ht="22" customHeight="1" spans="1:5" x14ac:dyDescent="0.25">
      <c r="A19" s="8" t="s">
        <v>19</v>
      </c>
      <c r="B19" s="5"/>
      <c r="C19" s="5"/>
      <c r="D19" s="5"/>
      <c r="E19" s="6"/>
    </row>
    <row r="20" ht="20" customHeight="1" spans="1:5" x14ac:dyDescent="0.25">
      <c r="A20" s="9" t="s">
        <v>20</v>
      </c>
      <c r="B20" s="14"/>
      <c r="C20" s="11"/>
      <c r="D20" s="11"/>
      <c r="E20" s="11"/>
    </row>
    <row r="21" ht="20" customHeight="1" spans="1:5" x14ac:dyDescent="0.25">
      <c r="A21" s="9" t="s">
        <v>21</v>
      </c>
      <c r="B21" s="13"/>
      <c r="C21" s="11"/>
      <c r="D21" s="11"/>
      <c r="E21" s="11"/>
    </row>
    <row r="22" ht="20" customHeight="1" spans="1:5" x14ac:dyDescent="0.25">
      <c r="A22" s="9" t="s">
        <v>22</v>
      </c>
      <c r="B22" s="13"/>
      <c r="C22" s="11"/>
      <c r="D22" s="11"/>
      <c r="E22" s="11"/>
    </row>
    <row r="23" ht="20" customHeight="1" spans="1:5" x14ac:dyDescent="0.25">
      <c r="A23" s="9" t="s">
        <v>23</v>
      </c>
      <c r="B23" s="15"/>
      <c r="C23" s="11"/>
      <c r="D23" s="11"/>
      <c r="E23" s="11"/>
    </row>
    <row r="24" ht="20" customHeight="1" spans="1:5" x14ac:dyDescent="0.25">
      <c r="A24" s="9" t="s">
        <v>24</v>
      </c>
      <c r="B24" s="15"/>
      <c r="C24" s="11"/>
      <c r="D24" s="11"/>
      <c r="E24" s="11"/>
    </row>
    <row r="25" ht="20" customHeight="1" spans="1:5" x14ac:dyDescent="0.25">
      <c r="A25" s="9" t="s">
        <v>25</v>
      </c>
      <c r="B25" s="13" t="s">
        <v>26</v>
      </c>
      <c r="C25" s="11"/>
      <c r="D25" s="11"/>
      <c r="E25" s="11"/>
    </row>
    <row r="26" ht="20" customHeight="1" spans="1:5" x14ac:dyDescent="0.25">
      <c r="A26" s="9" t="s">
        <v>27</v>
      </c>
      <c r="B26" s="16" t="s">
        <v>28</v>
      </c>
      <c r="C26" s="11"/>
      <c r="D26" s="11"/>
      <c r="E26" s="11"/>
    </row>
    <row r="28" ht="22" customHeight="1" spans="1:5" x14ac:dyDescent="0.25">
      <c r="A28" s="8" t="s">
        <v>29</v>
      </c>
      <c r="B28" s="5"/>
      <c r="C28" s="5"/>
      <c r="D28" s="5"/>
      <c r="E28" s="6"/>
    </row>
    <row r="29" ht="20" customHeight="1" spans="1:5" x14ac:dyDescent="0.25">
      <c r="A29" s="9" t="s">
        <v>30</v>
      </c>
      <c r="B29" s="10" t="s">
        <v>31</v>
      </c>
      <c r="C29" s="11"/>
      <c r="D29" s="11"/>
      <c r="E29" s="11"/>
    </row>
    <row r="30" ht="20" customHeight="1" spans="1:5" x14ac:dyDescent="0.25">
      <c r="A30" s="9" t="s">
        <v>32</v>
      </c>
      <c r="B30" s="10" t="s">
        <v>33</v>
      </c>
      <c r="C30" s="11"/>
      <c r="D30" s="11"/>
      <c r="E30" s="11"/>
    </row>
    <row r="31" ht="20" customHeight="1" spans="1:5" x14ac:dyDescent="0.25">
      <c r="A31" s="9" t="s">
        <v>34</v>
      </c>
      <c r="B31" s="10" t="s">
        <v>35</v>
      </c>
      <c r="C31" s="11"/>
      <c r="D31" s="11"/>
      <c r="E31" s="11"/>
    </row>
    <row r="32" ht="20" customHeight="1" spans="1:5" x14ac:dyDescent="0.25">
      <c r="A32" s="9" t="s">
        <v>36</v>
      </c>
      <c r="B32" s="10" t="s">
        <v>37</v>
      </c>
      <c r="C32" s="11"/>
      <c r="D32" s="11"/>
      <c r="E32" s="11"/>
    </row>
    <row r="33" ht="20" customHeight="1" spans="1:5" x14ac:dyDescent="0.25">
      <c r="A33" s="9" t="s">
        <v>38</v>
      </c>
      <c r="B33" s="10" t="s">
        <v>39</v>
      </c>
      <c r="C33" s="11"/>
      <c r="D33" s="11"/>
      <c r="E33" s="11"/>
    </row>
  </sheetData>
  <mergeCells count="6">
    <mergeCell ref="A1:E1"/>
    <mergeCell ref="A2:E2"/>
    <mergeCell ref="A3:E3"/>
    <mergeCell ref="A5:E5"/>
    <mergeCell ref="A19:E19"/>
    <mergeCell ref="A28:E28"/>
  </mergeCells>
  <dataValidations count="4">
    <dataValidation type="list" allowBlank="1" showInputMessage="1" promptTitle="Pick value" prompt="Select state" showErrorMessage="1" errorTitle="Invalid Entry" error="Please select from the dropdown list" sqref="B15">
      <formula1>"Karnataka,Tamil Nadu,Kerala,Andhra Pradesh,Telangana,Maharashtra,Goa,Rajasthan,Delhi,Other"</formula1>
    </dataValidation>
    <dataValidation type="list" allowBlank="1" showInputMessage="1" promptTitle="Pick value" prompt="Select from list" showErrorMessage="1" errorTitle="Invalid Entry" error="Please select from the dropdown list" sqref="B25">
      <formula1>"Yes,No"</formula1>
    </dataValidation>
    <dataValidation type="list" allowBlank="1" showInputMessage="1" promptTitle="Pick value" prompt="Habitainer or ADS (Architectural Design Services)" showErrorMessage="1" errorTitle="Invalid Entry" error="Please select from the dropdown list" sqref="B8">
      <formula1>"Habitainer,ADS"</formula1>
    </dataValidation>
    <dataValidation type="list" allowBlank="1" showInputMessage="1" promptTitle="Pick value" prompt="Select the production method" showErrorMessage="1" errorTitle="Invalid Entry" error="Please select from the dropdown list" sqref="B9">
      <formula1>"Modular,Panelised,Hybrid"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85"/>
  <sheetViews>
    <sheetView workbookViewId="0" showGridLines="0" zoomScale="100" zoomScaleNormal="100">
      <pane xSplit="4" ySplit="4" topLeftCell="E5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6" customWidth="1"/>
    <col min="2" max="2" width="20" customWidth="1"/>
    <col min="3" max="3" width="38" customWidth="1"/>
    <col min="4" max="4" width="8" customWidth="1"/>
    <col min="5" max="6" width="12" customWidth="1"/>
    <col min="7" max="7" width="10" customWidth="1"/>
    <col min="8" max="8" width="12" customWidth="1"/>
    <col min="9" max="10" width="14" customWidth="1"/>
    <col min="11" max="11" width="12" customWidth="1"/>
    <col min="12" max="12" width="14" customWidth="1"/>
    <col min="13" max="14" width="16" customWidth="1"/>
    <col min="15" max="15" width="10" customWidth="1"/>
    <col min="16" max="16" width="16" customWidth="1"/>
  </cols>
  <sheetData>
    <row r="1" ht="30" customHeight="1" spans="1:16" x14ac:dyDescent="0.25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4" customHeight="1" spans="1:16" x14ac:dyDescent="0.25">
      <c r="A2" s="17" t="s">
        <v>41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ht="18" customHeight="1" spans="1:16" x14ac:dyDescent="0.25">
      <c r="A3" s="18" t="s">
        <v>42</v>
      </c>
      <c r="B3" s="5"/>
      <c r="C3" s="5"/>
      <c r="D3" s="6"/>
      <c r="E3" s="19" t="s">
        <v>43</v>
      </c>
      <c r="F3" s="20" t="s">
        <v>44</v>
      </c>
      <c r="G3" s="18" t="s">
        <v>45</v>
      </c>
      <c r="H3" s="6"/>
      <c r="I3" s="18" t="s">
        <v>46</v>
      </c>
      <c r="J3" s="5"/>
      <c r="K3" s="5"/>
      <c r="L3" s="6"/>
      <c r="M3" s="18" t="s">
        <v>47</v>
      </c>
      <c r="N3" s="6"/>
      <c r="O3" s="21" t="s">
        <v>48</v>
      </c>
      <c r="P3" s="18" t="s">
        <v>49</v>
      </c>
    </row>
    <row r="4" ht="36" customHeight="1" spans="1:16" x14ac:dyDescent="0.25">
      <c r="A4" s="18" t="s">
        <v>50</v>
      </c>
      <c r="B4" s="18" t="s">
        <v>51</v>
      </c>
      <c r="C4" s="18" t="s">
        <v>52</v>
      </c>
      <c r="D4" s="18" t="s">
        <v>53</v>
      </c>
      <c r="E4" s="19" t="s">
        <v>54</v>
      </c>
      <c r="F4" s="20" t="s">
        <v>55</v>
      </c>
      <c r="G4" s="18" t="s">
        <v>56</v>
      </c>
      <c r="H4" s="18" t="s">
        <v>57</v>
      </c>
      <c r="I4" s="18" t="s">
        <v>58</v>
      </c>
      <c r="J4" s="18" t="s">
        <v>59</v>
      </c>
      <c r="K4" s="18" t="s">
        <v>60</v>
      </c>
      <c r="L4" s="18" t="s">
        <v>61</v>
      </c>
      <c r="M4" s="19" t="s">
        <v>62</v>
      </c>
      <c r="N4" s="20" t="s">
        <v>63</v>
      </c>
      <c r="O4" s="21" t="s">
        <v>64</v>
      </c>
      <c r="P4" s="18" t="s">
        <v>65</v>
      </c>
    </row>
    <row r="5" ht="18" customHeight="1" spans="1:16" x14ac:dyDescent="0.25">
      <c r="A5" s="22" t="s">
        <v>66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</row>
    <row r="6" ht="20" customHeight="1" spans="1:16" x14ac:dyDescent="0.25">
      <c r="A6" s="25">
        <v>1</v>
      </c>
      <c r="B6" s="26" t="s">
        <v>67</v>
      </c>
      <c r="C6" s="27" t="s">
        <v>68</v>
      </c>
      <c r="D6" s="28" t="s">
        <v>69</v>
      </c>
      <c r="E6" s="29"/>
      <c r="F6" s="30"/>
      <c r="G6" s="31">
        <v>0.05</v>
      </c>
      <c r="H6" s="32">
        <f>IF(F6&gt;0,F6*(1+G6),E6*(1+G6))</f>
      </c>
      <c r="I6" s="33"/>
      <c r="J6" s="33"/>
      <c r="K6" s="33"/>
      <c r="L6" s="34">
        <f>I6+J6+K6</f>
      </c>
      <c r="M6" s="35">
        <f>IF(E6&gt;0,E6*L6,0)</f>
      </c>
      <c r="N6" s="36">
        <f>IF(F6&gt;0,H6*L6,0)</f>
      </c>
      <c r="O6" s="37"/>
      <c r="P6" s="38" t="s">
        <v>70</v>
      </c>
    </row>
    <row r="7" ht="20" customHeight="1" spans="1:16" x14ac:dyDescent="0.25">
      <c r="A7" s="39">
        <v>2</v>
      </c>
      <c r="B7" s="40" t="s">
        <v>67</v>
      </c>
      <c r="C7" s="41" t="s">
        <v>71</v>
      </c>
      <c r="D7" s="42" t="s">
        <v>69</v>
      </c>
      <c r="E7" s="29"/>
      <c r="F7" s="30"/>
      <c r="G7" s="31">
        <v>0.05</v>
      </c>
      <c r="H7" s="32">
        <f>IF(F7&gt;0,F7*(1+G7),E7*(1+G7))</f>
      </c>
      <c r="I7" s="33"/>
      <c r="J7" s="33"/>
      <c r="K7" s="33"/>
      <c r="L7" s="34">
        <f>I7+J7+K7</f>
      </c>
      <c r="M7" s="35">
        <f>IF(E7&gt;0,E7*L7,0)</f>
      </c>
      <c r="N7" s="36">
        <f>IF(F7&gt;0,H7*L7,0)</f>
      </c>
      <c r="O7" s="37"/>
      <c r="P7" s="43" t="s">
        <v>70</v>
      </c>
    </row>
    <row r="8" ht="20" customHeight="1" spans="1:16" x14ac:dyDescent="0.25">
      <c r="A8" s="25">
        <v>3</v>
      </c>
      <c r="B8" s="26" t="s">
        <v>67</v>
      </c>
      <c r="C8" s="27" t="s">
        <v>72</v>
      </c>
      <c r="D8" s="28" t="s">
        <v>69</v>
      </c>
      <c r="E8" s="29"/>
      <c r="F8" s="30"/>
      <c r="G8" s="31">
        <v>0.05</v>
      </c>
      <c r="H8" s="32">
        <f>IF(F8&gt;0,F8*(1+G8),E8*(1+G8))</f>
      </c>
      <c r="I8" s="33"/>
      <c r="J8" s="33"/>
      <c r="K8" s="33"/>
      <c r="L8" s="34">
        <f>I8+J8+K8</f>
      </c>
      <c r="M8" s="35">
        <f>IF(E8&gt;0,E8*L8,0)</f>
      </c>
      <c r="N8" s="36">
        <f>IF(F8&gt;0,H8*L8,0)</f>
      </c>
      <c r="O8" s="37"/>
      <c r="P8" s="38" t="s">
        <v>70</v>
      </c>
    </row>
    <row r="9" ht="18" customHeight="1" spans="1:16" x14ac:dyDescent="0.25">
      <c r="A9" s="22" t="s">
        <v>73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</row>
    <row r="10" ht="20" customHeight="1" spans="1:16" x14ac:dyDescent="0.25">
      <c r="A10" s="39">
        <v>4</v>
      </c>
      <c r="B10" s="40" t="s">
        <v>74</v>
      </c>
      <c r="C10" s="41" t="s">
        <v>75</v>
      </c>
      <c r="D10" s="42" t="s">
        <v>69</v>
      </c>
      <c r="E10" s="29"/>
      <c r="F10" s="30"/>
      <c r="G10" s="31">
        <v>0.05</v>
      </c>
      <c r="H10" s="32">
        <f>IF(F10&gt;0,F10*(1+G10),E10*(1+G10))</f>
      </c>
      <c r="I10" s="33"/>
      <c r="J10" s="33"/>
      <c r="K10" s="33"/>
      <c r="L10" s="34">
        <f>I10+J10+K10</f>
      </c>
      <c r="M10" s="35">
        <f>IF(E10&gt;0,E10*L10,0)</f>
      </c>
      <c r="N10" s="36">
        <f>IF(F10&gt;0,H10*L10,0)</f>
      </c>
      <c r="O10" s="37"/>
      <c r="P10" s="43" t="s">
        <v>70</v>
      </c>
    </row>
    <row r="11" ht="20" customHeight="1" spans="1:16" x14ac:dyDescent="0.25">
      <c r="A11" s="25">
        <v>5</v>
      </c>
      <c r="B11" s="26" t="s">
        <v>74</v>
      </c>
      <c r="C11" s="27" t="s">
        <v>76</v>
      </c>
      <c r="D11" s="28" t="s">
        <v>69</v>
      </c>
      <c r="E11" s="29"/>
      <c r="F11" s="30"/>
      <c r="G11" s="31">
        <v>0.05</v>
      </c>
      <c r="H11" s="32">
        <f>IF(F11&gt;0,F11*(1+G11),E11*(1+G11))</f>
      </c>
      <c r="I11" s="33"/>
      <c r="J11" s="33"/>
      <c r="K11" s="33"/>
      <c r="L11" s="34">
        <f>I11+J11+K11</f>
      </c>
      <c r="M11" s="35">
        <f>IF(E11&gt;0,E11*L11,0)</f>
      </c>
      <c r="N11" s="36">
        <f>IF(F11&gt;0,H11*L11,0)</f>
      </c>
      <c r="O11" s="37"/>
      <c r="P11" s="38" t="s">
        <v>70</v>
      </c>
    </row>
    <row r="12" ht="20" customHeight="1" spans="1:16" x14ac:dyDescent="0.25">
      <c r="A12" s="39">
        <v>6</v>
      </c>
      <c r="B12" s="40" t="s">
        <v>74</v>
      </c>
      <c r="C12" s="41" t="s">
        <v>77</v>
      </c>
      <c r="D12" s="42" t="s">
        <v>69</v>
      </c>
      <c r="E12" s="29"/>
      <c r="F12" s="30"/>
      <c r="G12" s="31">
        <v>0.05</v>
      </c>
      <c r="H12" s="32">
        <f>IF(F12&gt;0,F12*(1+G12),E12*(1+G12))</f>
      </c>
      <c r="I12" s="33"/>
      <c r="J12" s="33"/>
      <c r="K12" s="33"/>
      <c r="L12" s="34">
        <f>I12+J12+K12</f>
      </c>
      <c r="M12" s="35">
        <f>IF(E12&gt;0,E12*L12,0)</f>
      </c>
      <c r="N12" s="36">
        <f>IF(F12&gt;0,H12*L12,0)</f>
      </c>
      <c r="O12" s="37"/>
      <c r="P12" s="43" t="s">
        <v>70</v>
      </c>
    </row>
    <row r="13" ht="20" customHeight="1" spans="1:16" x14ac:dyDescent="0.25">
      <c r="A13" s="25">
        <v>7</v>
      </c>
      <c r="B13" s="26" t="s">
        <v>74</v>
      </c>
      <c r="C13" s="27" t="s">
        <v>78</v>
      </c>
      <c r="D13" s="28" t="s">
        <v>79</v>
      </c>
      <c r="E13" s="29"/>
      <c r="F13" s="30"/>
      <c r="G13" s="31">
        <v>0.05</v>
      </c>
      <c r="H13" s="32">
        <f>IF(F13&gt;0,F13*(1+G13),E13*(1+G13))</f>
      </c>
      <c r="I13" s="33"/>
      <c r="J13" s="33"/>
      <c r="K13" s="33"/>
      <c r="L13" s="34">
        <f>I13+J13+K13</f>
      </c>
      <c r="M13" s="35">
        <f>IF(E13&gt;0,E13*L13,0)</f>
      </c>
      <c r="N13" s="36">
        <f>IF(F13&gt;0,H13*L13,0)</f>
      </c>
      <c r="O13" s="37"/>
      <c r="P13" s="38" t="s">
        <v>70</v>
      </c>
    </row>
    <row r="14" ht="20" customHeight="1" spans="1:16" x14ac:dyDescent="0.25">
      <c r="A14" s="39">
        <v>8</v>
      </c>
      <c r="B14" s="40" t="s">
        <v>74</v>
      </c>
      <c r="C14" s="41" t="s">
        <v>80</v>
      </c>
      <c r="D14" s="42" t="s">
        <v>79</v>
      </c>
      <c r="E14" s="29"/>
      <c r="F14" s="30"/>
      <c r="G14" s="31">
        <v>0.05</v>
      </c>
      <c r="H14" s="32">
        <f>IF(F14&gt;0,F14*(1+G14),E14*(1+G14))</f>
      </c>
      <c r="I14" s="33"/>
      <c r="J14" s="33"/>
      <c r="K14" s="33"/>
      <c r="L14" s="34">
        <f>I14+J14+K14</f>
      </c>
      <c r="M14" s="35">
        <f>IF(E14&gt;0,E14*L14,0)</f>
      </c>
      <c r="N14" s="36">
        <f>IF(F14&gt;0,H14*L14,0)</f>
      </c>
      <c r="O14" s="37"/>
      <c r="P14" s="43" t="s">
        <v>70</v>
      </c>
    </row>
    <row r="15" ht="20" customHeight="1" spans="1:16" x14ac:dyDescent="0.25">
      <c r="A15" s="25">
        <v>9</v>
      </c>
      <c r="B15" s="26" t="s">
        <v>74</v>
      </c>
      <c r="C15" s="27" t="s">
        <v>81</v>
      </c>
      <c r="D15" s="28" t="s">
        <v>82</v>
      </c>
      <c r="E15" s="29"/>
      <c r="F15" s="30"/>
      <c r="G15" s="31">
        <v>0.05</v>
      </c>
      <c r="H15" s="32">
        <f>IF(F15&gt;0,F15*(1+G15),E15*(1+G15))</f>
      </c>
      <c r="I15" s="33"/>
      <c r="J15" s="33"/>
      <c r="K15" s="33"/>
      <c r="L15" s="34">
        <f>I15+J15+K15</f>
      </c>
      <c r="M15" s="35">
        <f>IF(E15&gt;0,E15*L15,0)</f>
      </c>
      <c r="N15" s="36">
        <f>IF(F15&gt;0,H15*L15,0)</f>
      </c>
      <c r="O15" s="37"/>
      <c r="P15" s="38" t="s">
        <v>70</v>
      </c>
    </row>
    <row r="16" ht="18" customHeight="1" spans="1:16" x14ac:dyDescent="0.25">
      <c r="A16" s="22" t="s">
        <v>83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</row>
    <row r="17" ht="20" customHeight="1" spans="1:16" x14ac:dyDescent="0.25">
      <c r="A17" s="39">
        <v>10</v>
      </c>
      <c r="B17" s="40" t="s">
        <v>84</v>
      </c>
      <c r="C17" s="41" t="s">
        <v>85</v>
      </c>
      <c r="D17" s="42" t="s">
        <v>86</v>
      </c>
      <c r="E17" s="29"/>
      <c r="F17" s="30"/>
      <c r="G17" s="31">
        <v>0.05</v>
      </c>
      <c r="H17" s="32">
        <f>IF(F17&gt;0,F17*(1+G17),E17*(1+G17))</f>
      </c>
      <c r="I17" s="33"/>
      <c r="J17" s="33"/>
      <c r="K17" s="33"/>
      <c r="L17" s="34">
        <f>I17+J17+K17</f>
      </c>
      <c r="M17" s="35">
        <f>IF(E17&gt;0,E17*L17,0)</f>
      </c>
      <c r="N17" s="36">
        <f>IF(F17&gt;0,H17*L17,0)</f>
      </c>
      <c r="O17" s="37"/>
      <c r="P17" s="43" t="s">
        <v>70</v>
      </c>
    </row>
    <row r="18" ht="20" customHeight="1" spans="1:16" x14ac:dyDescent="0.25">
      <c r="A18" s="25">
        <v>11</v>
      </c>
      <c r="B18" s="26" t="s">
        <v>84</v>
      </c>
      <c r="C18" s="27" t="s">
        <v>87</v>
      </c>
      <c r="D18" s="28" t="s">
        <v>88</v>
      </c>
      <c r="E18" s="29"/>
      <c r="F18" s="30"/>
      <c r="G18" s="31">
        <v>0.05</v>
      </c>
      <c r="H18" s="32">
        <f>IF(F18&gt;0,F18*(1+G18),E18*(1+G18))</f>
      </c>
      <c r="I18" s="33"/>
      <c r="J18" s="33"/>
      <c r="K18" s="33"/>
      <c r="L18" s="34">
        <f>I18+J18+K18</f>
      </c>
      <c r="M18" s="35">
        <f>IF(E18&gt;0,E18*L18,0)</f>
      </c>
      <c r="N18" s="36">
        <f>IF(F18&gt;0,H18*L18,0)</f>
      </c>
      <c r="O18" s="37"/>
      <c r="P18" s="38" t="s">
        <v>70</v>
      </c>
    </row>
    <row r="19" ht="18" customHeight="1" spans="1:16" x14ac:dyDescent="0.25">
      <c r="A19" s="22" t="s">
        <v>89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</row>
    <row r="20" ht="20" customHeight="1" spans="1:16" x14ac:dyDescent="0.25">
      <c r="A20" s="39">
        <v>12</v>
      </c>
      <c r="B20" s="40" t="s">
        <v>90</v>
      </c>
      <c r="C20" s="41" t="s">
        <v>91</v>
      </c>
      <c r="D20" s="42" t="s">
        <v>86</v>
      </c>
      <c r="E20" s="29"/>
      <c r="F20" s="30"/>
      <c r="G20" s="31">
        <v>0.05</v>
      </c>
      <c r="H20" s="32">
        <f>IF(F20&gt;0,F20*(1+G20),E20*(1+G20))</f>
      </c>
      <c r="I20" s="33"/>
      <c r="J20" s="33"/>
      <c r="K20" s="33"/>
      <c r="L20" s="34">
        <f>I20+J20+K20</f>
      </c>
      <c r="M20" s="35">
        <f>IF(E20&gt;0,E20*L20,0)</f>
      </c>
      <c r="N20" s="36">
        <f>IF(F20&gt;0,H20*L20,0)</f>
      </c>
      <c r="O20" s="37"/>
      <c r="P20" s="43" t="s">
        <v>70</v>
      </c>
    </row>
    <row r="21" ht="20" customHeight="1" spans="1:16" x14ac:dyDescent="0.25">
      <c r="A21" s="25">
        <v>13</v>
      </c>
      <c r="B21" s="26" t="s">
        <v>90</v>
      </c>
      <c r="C21" s="27" t="s">
        <v>92</v>
      </c>
      <c r="D21" s="28" t="s">
        <v>86</v>
      </c>
      <c r="E21" s="29"/>
      <c r="F21" s="30"/>
      <c r="G21" s="31">
        <v>0.05</v>
      </c>
      <c r="H21" s="32">
        <f>IF(F21&gt;0,F21*(1+G21),E21*(1+G21))</f>
      </c>
      <c r="I21" s="33"/>
      <c r="J21" s="33"/>
      <c r="K21" s="33"/>
      <c r="L21" s="34">
        <f>I21+J21+K21</f>
      </c>
      <c r="M21" s="35">
        <f>IF(E21&gt;0,E21*L21,0)</f>
      </c>
      <c r="N21" s="36">
        <f>IF(F21&gt;0,H21*L21,0)</f>
      </c>
      <c r="O21" s="37"/>
      <c r="P21" s="38" t="s">
        <v>70</v>
      </c>
    </row>
    <row r="22" ht="20" customHeight="1" spans="1:16" x14ac:dyDescent="0.25">
      <c r="A22" s="39">
        <v>14</v>
      </c>
      <c r="B22" s="40" t="s">
        <v>90</v>
      </c>
      <c r="C22" s="41" t="s">
        <v>93</v>
      </c>
      <c r="D22" s="42" t="s">
        <v>69</v>
      </c>
      <c r="E22" s="29"/>
      <c r="F22" s="30"/>
      <c r="G22" s="31">
        <v>0.05</v>
      </c>
      <c r="H22" s="32">
        <f>IF(F22&gt;0,F22*(1+G22),E22*(1+G22))</f>
      </c>
      <c r="I22" s="33"/>
      <c r="J22" s="33"/>
      <c r="K22" s="33"/>
      <c r="L22" s="34">
        <f>I22+J22+K22</f>
      </c>
      <c r="M22" s="35">
        <f>IF(E22&gt;0,E22*L22,0)</f>
      </c>
      <c r="N22" s="36">
        <f>IF(F22&gt;0,H22*L22,0)</f>
      </c>
      <c r="O22" s="37"/>
      <c r="P22" s="43" t="s">
        <v>70</v>
      </c>
    </row>
    <row r="23" ht="20" customHeight="1" spans="1:16" x14ac:dyDescent="0.25">
      <c r="A23" s="25">
        <v>15</v>
      </c>
      <c r="B23" s="26" t="s">
        <v>90</v>
      </c>
      <c r="C23" s="27" t="s">
        <v>94</v>
      </c>
      <c r="D23" s="28" t="s">
        <v>95</v>
      </c>
      <c r="E23" s="29"/>
      <c r="F23" s="30"/>
      <c r="G23" s="31">
        <v>0.05</v>
      </c>
      <c r="H23" s="32">
        <f>IF(F23&gt;0,F23*(1+G23),E23*(1+G23))</f>
      </c>
      <c r="I23" s="33"/>
      <c r="J23" s="33"/>
      <c r="K23" s="33"/>
      <c r="L23" s="34">
        <f>I23+J23+K23</f>
      </c>
      <c r="M23" s="35">
        <f>IF(E23&gt;0,E23*L23,0)</f>
      </c>
      <c r="N23" s="36">
        <f>IF(F23&gt;0,H23*L23,0)</f>
      </c>
      <c r="O23" s="37"/>
      <c r="P23" s="38" t="s">
        <v>70</v>
      </c>
    </row>
    <row r="24" ht="18" customHeight="1" spans="1:16" x14ac:dyDescent="0.25">
      <c r="A24" s="22" t="s">
        <v>96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</row>
    <row r="25" ht="20" customHeight="1" spans="1:16" x14ac:dyDescent="0.25">
      <c r="A25" s="39">
        <v>16</v>
      </c>
      <c r="B25" s="40" t="s">
        <v>97</v>
      </c>
      <c r="C25" s="41" t="s">
        <v>98</v>
      </c>
      <c r="D25" s="42" t="s">
        <v>86</v>
      </c>
      <c r="E25" s="29"/>
      <c r="F25" s="30"/>
      <c r="G25" s="31">
        <v>0.05</v>
      </c>
      <c r="H25" s="32">
        <f>IF(F25&gt;0,F25*(1+G25),E25*(1+G25))</f>
      </c>
      <c r="I25" s="33"/>
      <c r="J25" s="33"/>
      <c r="K25" s="33"/>
      <c r="L25" s="34">
        <f>I25+J25+K25</f>
      </c>
      <c r="M25" s="35">
        <f>IF(E25&gt;0,E25*L25,0)</f>
      </c>
      <c r="N25" s="36">
        <f>IF(F25&gt;0,H25*L25,0)</f>
      </c>
      <c r="O25" s="37"/>
      <c r="P25" s="43" t="s">
        <v>70</v>
      </c>
    </row>
    <row r="26" ht="20" customHeight="1" spans="1:16" x14ac:dyDescent="0.25">
      <c r="A26" s="25">
        <v>17</v>
      </c>
      <c r="B26" s="26" t="s">
        <v>97</v>
      </c>
      <c r="C26" s="27" t="s">
        <v>99</v>
      </c>
      <c r="D26" s="28" t="s">
        <v>86</v>
      </c>
      <c r="E26" s="29"/>
      <c r="F26" s="30"/>
      <c r="G26" s="31">
        <v>0.05</v>
      </c>
      <c r="H26" s="32">
        <f>IF(F26&gt;0,F26*(1+G26),E26*(1+G26))</f>
      </c>
      <c r="I26" s="33"/>
      <c r="J26" s="33"/>
      <c r="K26" s="33"/>
      <c r="L26" s="34">
        <f>I26+J26+K26</f>
      </c>
      <c r="M26" s="35">
        <f>IF(E26&gt;0,E26*L26,0)</f>
      </c>
      <c r="N26" s="36">
        <f>IF(F26&gt;0,H26*L26,0)</f>
      </c>
      <c r="O26" s="37"/>
      <c r="P26" s="38" t="s">
        <v>70</v>
      </c>
    </row>
    <row r="27" ht="20" customHeight="1" spans="1:16" x14ac:dyDescent="0.25">
      <c r="A27" s="39">
        <v>18</v>
      </c>
      <c r="B27" s="40" t="s">
        <v>97</v>
      </c>
      <c r="C27" s="41" t="s">
        <v>100</v>
      </c>
      <c r="D27" s="42" t="s">
        <v>101</v>
      </c>
      <c r="E27" s="29"/>
      <c r="F27" s="30"/>
      <c r="G27" s="31">
        <v>0.05</v>
      </c>
      <c r="H27" s="32">
        <f>IF(F27&gt;0,F27*(1+G27),E27*(1+G27))</f>
      </c>
      <c r="I27" s="33"/>
      <c r="J27" s="33"/>
      <c r="K27" s="33"/>
      <c r="L27" s="34">
        <f>I27+J27+K27</f>
      </c>
      <c r="M27" s="35">
        <f>IF(E27&gt;0,E27*L27,0)</f>
      </c>
      <c r="N27" s="36">
        <f>IF(F27&gt;0,H27*L27,0)</f>
      </c>
      <c r="O27" s="37"/>
      <c r="P27" s="43" t="s">
        <v>70</v>
      </c>
    </row>
    <row r="28" ht="18" customHeight="1" spans="1:16" x14ac:dyDescent="0.25">
      <c r="A28" s="22" t="s">
        <v>102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</row>
    <row r="29" ht="20" customHeight="1" spans="1:16" x14ac:dyDescent="0.25">
      <c r="A29" s="25">
        <v>19</v>
      </c>
      <c r="B29" s="26" t="s">
        <v>103</v>
      </c>
      <c r="C29" s="27" t="s">
        <v>104</v>
      </c>
      <c r="D29" s="28" t="s">
        <v>86</v>
      </c>
      <c r="E29" s="29"/>
      <c r="F29" s="30"/>
      <c r="G29" s="31">
        <v>0.05</v>
      </c>
      <c r="H29" s="32">
        <f>IF(F29&gt;0,F29*(1+G29),E29*(1+G29))</f>
      </c>
      <c r="I29" s="33"/>
      <c r="J29" s="33"/>
      <c r="K29" s="33"/>
      <c r="L29" s="34">
        <f>I29+J29+K29</f>
      </c>
      <c r="M29" s="35">
        <f>IF(E29&gt;0,E29*L29,0)</f>
      </c>
      <c r="N29" s="36">
        <f>IF(F29&gt;0,H29*L29,0)</f>
      </c>
      <c r="O29" s="37"/>
      <c r="P29" s="38" t="s">
        <v>70</v>
      </c>
    </row>
    <row r="30" ht="20" customHeight="1" spans="1:16" x14ac:dyDescent="0.25">
      <c r="A30" s="39">
        <v>20</v>
      </c>
      <c r="B30" s="40" t="s">
        <v>103</v>
      </c>
      <c r="C30" s="41" t="s">
        <v>105</v>
      </c>
      <c r="D30" s="42" t="s">
        <v>86</v>
      </c>
      <c r="E30" s="29"/>
      <c r="F30" s="30"/>
      <c r="G30" s="31">
        <v>0.05</v>
      </c>
      <c r="H30" s="32">
        <f>IF(F30&gt;0,F30*(1+G30),E30*(1+G30))</f>
      </c>
      <c r="I30" s="33"/>
      <c r="J30" s="33"/>
      <c r="K30" s="33"/>
      <c r="L30" s="34">
        <f>I30+J30+K30</f>
      </c>
      <c r="M30" s="35">
        <f>IF(E30&gt;0,E30*L30,0)</f>
      </c>
      <c r="N30" s="36">
        <f>IF(F30&gt;0,H30*L30,0)</f>
      </c>
      <c r="O30" s="37"/>
      <c r="P30" s="43" t="s">
        <v>70</v>
      </c>
    </row>
    <row r="31" ht="20" customHeight="1" spans="1:16" x14ac:dyDescent="0.25">
      <c r="A31" s="25">
        <v>21</v>
      </c>
      <c r="B31" s="26" t="s">
        <v>103</v>
      </c>
      <c r="C31" s="27" t="s">
        <v>106</v>
      </c>
      <c r="D31" s="28" t="s">
        <v>86</v>
      </c>
      <c r="E31" s="29"/>
      <c r="F31" s="30"/>
      <c r="G31" s="31">
        <v>0.05</v>
      </c>
      <c r="H31" s="32">
        <f>IF(F31&gt;0,F31*(1+G31),E31*(1+G31))</f>
      </c>
      <c r="I31" s="33"/>
      <c r="J31" s="33"/>
      <c r="K31" s="33"/>
      <c r="L31" s="34">
        <f>I31+J31+K31</f>
      </c>
      <c r="M31" s="35">
        <f>IF(E31&gt;0,E31*L31,0)</f>
      </c>
      <c r="N31" s="36">
        <f>IF(F31&gt;0,H31*L31,0)</f>
      </c>
      <c r="O31" s="37"/>
      <c r="P31" s="38" t="s">
        <v>70</v>
      </c>
    </row>
    <row r="32" ht="18" customHeight="1" spans="1:16" x14ac:dyDescent="0.25">
      <c r="A32" s="22" t="s">
        <v>107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</row>
    <row r="33" ht="20" customHeight="1" spans="1:16" x14ac:dyDescent="0.25">
      <c r="A33" s="39">
        <v>22</v>
      </c>
      <c r="B33" s="40" t="s">
        <v>108</v>
      </c>
      <c r="C33" s="41" t="s">
        <v>109</v>
      </c>
      <c r="D33" s="42" t="s">
        <v>86</v>
      </c>
      <c r="E33" s="29"/>
      <c r="F33" s="30"/>
      <c r="G33" s="31">
        <v>0.05</v>
      </c>
      <c r="H33" s="32">
        <f>IF(F33&gt;0,F33*(1+G33),E33*(1+G33))</f>
      </c>
      <c r="I33" s="33"/>
      <c r="J33" s="33"/>
      <c r="K33" s="33"/>
      <c r="L33" s="34">
        <f>I33+J33+K33</f>
      </c>
      <c r="M33" s="35">
        <f>IF(E33&gt;0,E33*L33,0)</f>
      </c>
      <c r="N33" s="36">
        <f>IF(F33&gt;0,H33*L33,0)</f>
      </c>
      <c r="O33" s="37"/>
      <c r="P33" s="43" t="s">
        <v>70</v>
      </c>
    </row>
    <row r="34" ht="20" customHeight="1" spans="1:16" x14ac:dyDescent="0.25">
      <c r="A34" s="25">
        <v>23</v>
      </c>
      <c r="B34" s="26" t="s">
        <v>108</v>
      </c>
      <c r="C34" s="27" t="s">
        <v>110</v>
      </c>
      <c r="D34" s="28" t="s">
        <v>86</v>
      </c>
      <c r="E34" s="29"/>
      <c r="F34" s="30"/>
      <c r="G34" s="31">
        <v>0.05</v>
      </c>
      <c r="H34" s="32">
        <f>IF(F34&gt;0,F34*(1+G34),E34*(1+G34))</f>
      </c>
      <c r="I34" s="33"/>
      <c r="J34" s="33"/>
      <c r="K34" s="33"/>
      <c r="L34" s="34">
        <f>I34+J34+K34</f>
      </c>
      <c r="M34" s="35">
        <f>IF(E34&gt;0,E34*L34,0)</f>
      </c>
      <c r="N34" s="36">
        <f>IF(F34&gt;0,H34*L34,0)</f>
      </c>
      <c r="O34" s="37"/>
      <c r="P34" s="38" t="s">
        <v>70</v>
      </c>
    </row>
    <row r="35" ht="20" customHeight="1" spans="1:16" x14ac:dyDescent="0.25">
      <c r="A35" s="39">
        <v>24</v>
      </c>
      <c r="B35" s="40" t="s">
        <v>108</v>
      </c>
      <c r="C35" s="41" t="s">
        <v>111</v>
      </c>
      <c r="D35" s="42" t="s">
        <v>69</v>
      </c>
      <c r="E35" s="29"/>
      <c r="F35" s="30"/>
      <c r="G35" s="31">
        <v>0.05</v>
      </c>
      <c r="H35" s="32">
        <f>IF(F35&gt;0,F35*(1+G35),E35*(1+G35))</f>
      </c>
      <c r="I35" s="33"/>
      <c r="J35" s="33"/>
      <c r="K35" s="33"/>
      <c r="L35" s="34">
        <f>I35+J35+K35</f>
      </c>
      <c r="M35" s="35">
        <f>IF(E35&gt;0,E35*L35,0)</f>
      </c>
      <c r="N35" s="36">
        <f>IF(F35&gt;0,H35*L35,0)</f>
      </c>
      <c r="O35" s="37"/>
      <c r="P35" s="43" t="s">
        <v>70</v>
      </c>
    </row>
    <row r="36" ht="20" customHeight="1" spans="1:16" x14ac:dyDescent="0.25">
      <c r="A36" s="25">
        <v>25</v>
      </c>
      <c r="B36" s="26" t="s">
        <v>108</v>
      </c>
      <c r="C36" s="27" t="s">
        <v>112</v>
      </c>
      <c r="D36" s="28" t="s">
        <v>69</v>
      </c>
      <c r="E36" s="29"/>
      <c r="F36" s="30"/>
      <c r="G36" s="31">
        <v>0.05</v>
      </c>
      <c r="H36" s="32">
        <f>IF(F36&gt;0,F36*(1+G36),E36*(1+G36))</f>
      </c>
      <c r="I36" s="33"/>
      <c r="J36" s="33"/>
      <c r="K36" s="33"/>
      <c r="L36" s="34">
        <f>I36+J36+K36</f>
      </c>
      <c r="M36" s="35">
        <f>IF(E36&gt;0,E36*L36,0)</f>
      </c>
      <c r="N36" s="36">
        <f>IF(F36&gt;0,H36*L36,0)</f>
      </c>
      <c r="O36" s="37"/>
      <c r="P36" s="38" t="s">
        <v>70</v>
      </c>
    </row>
    <row r="37" ht="20" customHeight="1" spans="1:16" x14ac:dyDescent="0.25">
      <c r="A37" s="39">
        <v>26</v>
      </c>
      <c r="B37" s="40" t="s">
        <v>108</v>
      </c>
      <c r="C37" s="41" t="s">
        <v>113</v>
      </c>
      <c r="D37" s="42" t="s">
        <v>88</v>
      </c>
      <c r="E37" s="29"/>
      <c r="F37" s="30"/>
      <c r="G37" s="31">
        <v>0.05</v>
      </c>
      <c r="H37" s="32">
        <f>IF(F37&gt;0,F37*(1+G37),E37*(1+G37))</f>
      </c>
      <c r="I37" s="33"/>
      <c r="J37" s="33"/>
      <c r="K37" s="33"/>
      <c r="L37" s="34">
        <f>I37+J37+K37</f>
      </c>
      <c r="M37" s="35">
        <f>IF(E37&gt;0,E37*L37,0)</f>
      </c>
      <c r="N37" s="36">
        <f>IF(F37&gt;0,H37*L37,0)</f>
      </c>
      <c r="O37" s="37"/>
      <c r="P37" s="43" t="s">
        <v>70</v>
      </c>
    </row>
    <row r="38" ht="18" customHeight="1" spans="1:16" x14ac:dyDescent="0.25">
      <c r="A38" s="22" t="s">
        <v>114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</row>
    <row r="39" ht="20" customHeight="1" spans="1:16" x14ac:dyDescent="0.25">
      <c r="A39" s="25">
        <v>27</v>
      </c>
      <c r="B39" s="26" t="s">
        <v>115</v>
      </c>
      <c r="C39" s="27" t="s">
        <v>116</v>
      </c>
      <c r="D39" s="28" t="s">
        <v>86</v>
      </c>
      <c r="E39" s="29"/>
      <c r="F39" s="30"/>
      <c r="G39" s="31">
        <v>0.05</v>
      </c>
      <c r="H39" s="32">
        <f>IF(F39&gt;0,F39*(1+G39),E39*(1+G39))</f>
      </c>
      <c r="I39" s="33"/>
      <c r="J39" s="33"/>
      <c r="K39" s="33"/>
      <c r="L39" s="34">
        <f>I39+J39+K39</f>
      </c>
      <c r="M39" s="35">
        <f>IF(E39&gt;0,E39*L39,0)</f>
      </c>
      <c r="N39" s="36">
        <f>IF(F39&gt;0,H39*L39,0)</f>
      </c>
      <c r="O39" s="37"/>
      <c r="P39" s="38" t="s">
        <v>70</v>
      </c>
    </row>
    <row r="40" ht="20" customHeight="1" spans="1:16" x14ac:dyDescent="0.25">
      <c r="A40" s="39">
        <v>28</v>
      </c>
      <c r="B40" s="40" t="s">
        <v>115</v>
      </c>
      <c r="C40" s="41" t="s">
        <v>117</v>
      </c>
      <c r="D40" s="42" t="s">
        <v>86</v>
      </c>
      <c r="E40" s="29"/>
      <c r="F40" s="30"/>
      <c r="G40" s="31">
        <v>0.05</v>
      </c>
      <c r="H40" s="32">
        <f>IF(F40&gt;0,F40*(1+G40),E40*(1+G40))</f>
      </c>
      <c r="I40" s="33"/>
      <c r="J40" s="33"/>
      <c r="K40" s="33"/>
      <c r="L40" s="34">
        <f>I40+J40+K40</f>
      </c>
      <c r="M40" s="35">
        <f>IF(E40&gt;0,E40*L40,0)</f>
      </c>
      <c r="N40" s="36">
        <f>IF(F40&gt;0,H40*L40,0)</f>
      </c>
      <c r="O40" s="37"/>
      <c r="P40" s="43" t="s">
        <v>70</v>
      </c>
    </row>
    <row r="41" ht="20" customHeight="1" spans="1:16" x14ac:dyDescent="0.25">
      <c r="A41" s="25">
        <v>29</v>
      </c>
      <c r="B41" s="26" t="s">
        <v>115</v>
      </c>
      <c r="C41" s="27" t="s">
        <v>118</v>
      </c>
      <c r="D41" s="28" t="s">
        <v>86</v>
      </c>
      <c r="E41" s="29"/>
      <c r="F41" s="30"/>
      <c r="G41" s="31">
        <v>0.05</v>
      </c>
      <c r="H41" s="32">
        <f>IF(F41&gt;0,F41*(1+G41),E41*(1+G41))</f>
      </c>
      <c r="I41" s="33"/>
      <c r="J41" s="33"/>
      <c r="K41" s="33"/>
      <c r="L41" s="34">
        <f>I41+J41+K41</f>
      </c>
      <c r="M41" s="35">
        <f>IF(E41&gt;0,E41*L41,0)</f>
      </c>
      <c r="N41" s="36">
        <f>IF(F41&gt;0,H41*L41,0)</f>
      </c>
      <c r="O41" s="37"/>
      <c r="P41" s="38" t="s">
        <v>70</v>
      </c>
    </row>
    <row r="42" ht="18" customHeight="1" spans="1:16" x14ac:dyDescent="0.25">
      <c r="A42" s="22" t="s">
        <v>119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4"/>
    </row>
    <row r="43" ht="20" customHeight="1" spans="1:16" x14ac:dyDescent="0.25">
      <c r="A43" s="39">
        <v>30</v>
      </c>
      <c r="B43" s="40" t="s">
        <v>120</v>
      </c>
      <c r="C43" s="41" t="s">
        <v>121</v>
      </c>
      <c r="D43" s="42" t="s">
        <v>122</v>
      </c>
      <c r="E43" s="29"/>
      <c r="F43" s="30"/>
      <c r="G43" s="31">
        <v>0.05</v>
      </c>
      <c r="H43" s="32">
        <f>IF(F43&gt;0,F43*(1+G43),E43*(1+G43))</f>
      </c>
      <c r="I43" s="33"/>
      <c r="J43" s="33"/>
      <c r="K43" s="33"/>
      <c r="L43" s="34">
        <f>I43+J43+K43</f>
      </c>
      <c r="M43" s="35">
        <f>IF(E43&gt;0,E43*L43,0)</f>
      </c>
      <c r="N43" s="36">
        <f>IF(F43&gt;0,H43*L43,0)</f>
      </c>
      <c r="O43" s="37"/>
      <c r="P43" s="43" t="s">
        <v>70</v>
      </c>
    </row>
    <row r="44" ht="20" customHeight="1" spans="1:16" x14ac:dyDescent="0.25">
      <c r="A44" s="25">
        <v>31</v>
      </c>
      <c r="B44" s="26" t="s">
        <v>120</v>
      </c>
      <c r="C44" s="27" t="s">
        <v>123</v>
      </c>
      <c r="D44" s="28" t="s">
        <v>122</v>
      </c>
      <c r="E44" s="29"/>
      <c r="F44" s="30"/>
      <c r="G44" s="31">
        <v>0.05</v>
      </c>
      <c r="H44" s="32">
        <f>IF(F44&gt;0,F44*(1+G44),E44*(1+G44))</f>
      </c>
      <c r="I44" s="33"/>
      <c r="J44" s="33"/>
      <c r="K44" s="33"/>
      <c r="L44" s="34">
        <f>I44+J44+K44</f>
      </c>
      <c r="M44" s="35">
        <f>IF(E44&gt;0,E44*L44,0)</f>
      </c>
      <c r="N44" s="36">
        <f>IF(F44&gt;0,H44*L44,0)</f>
      </c>
      <c r="O44" s="37"/>
      <c r="P44" s="38" t="s">
        <v>70</v>
      </c>
    </row>
    <row r="45" ht="20" customHeight="1" spans="1:16" x14ac:dyDescent="0.25">
      <c r="A45" s="39">
        <v>32</v>
      </c>
      <c r="B45" s="40" t="s">
        <v>120</v>
      </c>
      <c r="C45" s="41" t="s">
        <v>124</v>
      </c>
      <c r="D45" s="42" t="s">
        <v>79</v>
      </c>
      <c r="E45" s="29"/>
      <c r="F45" s="30"/>
      <c r="G45" s="31">
        <v>0.05</v>
      </c>
      <c r="H45" s="32">
        <f>IF(F45&gt;0,F45*(1+G45),E45*(1+G45))</f>
      </c>
      <c r="I45" s="33"/>
      <c r="J45" s="33"/>
      <c r="K45" s="33"/>
      <c r="L45" s="34">
        <f>I45+J45+K45</f>
      </c>
      <c r="M45" s="35">
        <f>IF(E45&gt;0,E45*L45,0)</f>
      </c>
      <c r="N45" s="36">
        <f>IF(F45&gt;0,H45*L45,0)</f>
      </c>
      <c r="O45" s="37"/>
      <c r="P45" s="43" t="s">
        <v>70</v>
      </c>
    </row>
    <row r="46" ht="20" customHeight="1" spans="1:16" x14ac:dyDescent="0.25">
      <c r="A46" s="25">
        <v>33</v>
      </c>
      <c r="B46" s="26" t="s">
        <v>120</v>
      </c>
      <c r="C46" s="27" t="s">
        <v>125</v>
      </c>
      <c r="D46" s="28" t="s">
        <v>95</v>
      </c>
      <c r="E46" s="29"/>
      <c r="F46" s="30"/>
      <c r="G46" s="31">
        <v>0.05</v>
      </c>
      <c r="H46" s="32">
        <f>IF(F46&gt;0,F46*(1+G46),E46*(1+G46))</f>
      </c>
      <c r="I46" s="33"/>
      <c r="J46" s="33"/>
      <c r="K46" s="33"/>
      <c r="L46" s="34">
        <f>I46+J46+K46</f>
      </c>
      <c r="M46" s="35">
        <f>IF(E46&gt;0,E46*L46,0)</f>
      </c>
      <c r="N46" s="36">
        <f>IF(F46&gt;0,H46*L46,0)</f>
      </c>
      <c r="O46" s="37"/>
      <c r="P46" s="38" t="s">
        <v>70</v>
      </c>
    </row>
    <row r="47" ht="18" customHeight="1" spans="1:16" x14ac:dyDescent="0.25">
      <c r="A47" s="22" t="s">
        <v>126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4"/>
    </row>
    <row r="48" ht="20" customHeight="1" spans="1:16" x14ac:dyDescent="0.25">
      <c r="A48" s="39">
        <v>34</v>
      </c>
      <c r="B48" s="40" t="s">
        <v>127</v>
      </c>
      <c r="C48" s="41" t="s">
        <v>128</v>
      </c>
      <c r="D48" s="42" t="s">
        <v>122</v>
      </c>
      <c r="E48" s="29"/>
      <c r="F48" s="30"/>
      <c r="G48" s="31">
        <v>0.05</v>
      </c>
      <c r="H48" s="32">
        <f>IF(F48&gt;0,F48*(1+G48),E48*(1+G48))</f>
      </c>
      <c r="I48" s="33"/>
      <c r="J48" s="33"/>
      <c r="K48" s="33"/>
      <c r="L48" s="34">
        <f>I48+J48+K48</f>
      </c>
      <c r="M48" s="35">
        <f>IF(E48&gt;0,E48*L48,0)</f>
      </c>
      <c r="N48" s="36">
        <f>IF(F48&gt;0,H48*L48,0)</f>
      </c>
      <c r="O48" s="37"/>
      <c r="P48" s="43" t="s">
        <v>70</v>
      </c>
    </row>
    <row r="49" ht="20" customHeight="1" spans="1:16" x14ac:dyDescent="0.25">
      <c r="A49" s="25">
        <v>35</v>
      </c>
      <c r="B49" s="26" t="s">
        <v>127</v>
      </c>
      <c r="C49" s="27" t="s">
        <v>129</v>
      </c>
      <c r="D49" s="28" t="s">
        <v>122</v>
      </c>
      <c r="E49" s="29"/>
      <c r="F49" s="30"/>
      <c r="G49" s="31">
        <v>0.05</v>
      </c>
      <c r="H49" s="32">
        <f>IF(F49&gt;0,F49*(1+G49),E49*(1+G49))</f>
      </c>
      <c r="I49" s="33"/>
      <c r="J49" s="33"/>
      <c r="K49" s="33"/>
      <c r="L49" s="34">
        <f>I49+J49+K49</f>
      </c>
      <c r="M49" s="35">
        <f>IF(E49&gt;0,E49*L49,0)</f>
      </c>
      <c r="N49" s="36">
        <f>IF(F49&gt;0,H49*L49,0)</f>
      </c>
      <c r="O49" s="37"/>
      <c r="P49" s="38" t="s">
        <v>70</v>
      </c>
    </row>
    <row r="50" ht="20" customHeight="1" spans="1:16" x14ac:dyDescent="0.25">
      <c r="A50" s="39">
        <v>36</v>
      </c>
      <c r="B50" s="40" t="s">
        <v>127</v>
      </c>
      <c r="C50" s="41" t="s">
        <v>130</v>
      </c>
      <c r="D50" s="42" t="s">
        <v>122</v>
      </c>
      <c r="E50" s="29"/>
      <c r="F50" s="30"/>
      <c r="G50" s="31">
        <v>0.05</v>
      </c>
      <c r="H50" s="32">
        <f>IF(F50&gt;0,F50*(1+G50),E50*(1+G50))</f>
      </c>
      <c r="I50" s="33"/>
      <c r="J50" s="33"/>
      <c r="K50" s="33"/>
      <c r="L50" s="34">
        <f>I50+J50+K50</f>
      </c>
      <c r="M50" s="35">
        <f>IF(E50&gt;0,E50*L50,0)</f>
      </c>
      <c r="N50" s="36">
        <f>IF(F50&gt;0,H50*L50,0)</f>
      </c>
      <c r="O50" s="37"/>
      <c r="P50" s="43" t="s">
        <v>70</v>
      </c>
    </row>
    <row r="51" ht="18" customHeight="1" spans="1:16" x14ac:dyDescent="0.25">
      <c r="A51" s="22" t="s">
        <v>131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4"/>
    </row>
    <row r="52" ht="20" customHeight="1" spans="1:16" x14ac:dyDescent="0.25">
      <c r="A52" s="25">
        <v>37</v>
      </c>
      <c r="B52" s="26" t="s">
        <v>132</v>
      </c>
      <c r="C52" s="27" t="s">
        <v>133</v>
      </c>
      <c r="D52" s="28" t="s">
        <v>86</v>
      </c>
      <c r="E52" s="29"/>
      <c r="F52" s="30"/>
      <c r="G52" s="31">
        <v>0.05</v>
      </c>
      <c r="H52" s="32">
        <f>IF(F52&gt;0,F52*(1+G52),E52*(1+G52))</f>
      </c>
      <c r="I52" s="33"/>
      <c r="J52" s="33"/>
      <c r="K52" s="33"/>
      <c r="L52" s="34">
        <f>I52+J52+K52</f>
      </c>
      <c r="M52" s="35">
        <f>IF(E52&gt;0,E52*L52,0)</f>
      </c>
      <c r="N52" s="36">
        <f>IF(F52&gt;0,H52*L52,0)</f>
      </c>
      <c r="O52" s="37"/>
      <c r="P52" s="38" t="s">
        <v>70</v>
      </c>
    </row>
    <row r="53" ht="20" customHeight="1" spans="1:16" x14ac:dyDescent="0.25">
      <c r="A53" s="39">
        <v>38</v>
      </c>
      <c r="B53" s="40" t="s">
        <v>132</v>
      </c>
      <c r="C53" s="41" t="s">
        <v>134</v>
      </c>
      <c r="D53" s="42" t="s">
        <v>86</v>
      </c>
      <c r="E53" s="29"/>
      <c r="F53" s="30"/>
      <c r="G53" s="31">
        <v>0.05</v>
      </c>
      <c r="H53" s="32">
        <f>IF(F53&gt;0,F53*(1+G53),E53*(1+G53))</f>
      </c>
      <c r="I53" s="33"/>
      <c r="J53" s="33"/>
      <c r="K53" s="33"/>
      <c r="L53" s="34">
        <f>I53+J53+K53</f>
      </c>
      <c r="M53" s="35">
        <f>IF(E53&gt;0,E53*L53,0)</f>
      </c>
      <c r="N53" s="36">
        <f>IF(F53&gt;0,H53*L53,0)</f>
      </c>
      <c r="O53" s="37"/>
      <c r="P53" s="43" t="s">
        <v>70</v>
      </c>
    </row>
    <row r="54" ht="20" customHeight="1" spans="1:16" x14ac:dyDescent="0.25">
      <c r="A54" s="25">
        <v>39</v>
      </c>
      <c r="B54" s="26" t="s">
        <v>132</v>
      </c>
      <c r="C54" s="27" t="s">
        <v>135</v>
      </c>
      <c r="D54" s="28" t="s">
        <v>79</v>
      </c>
      <c r="E54" s="29"/>
      <c r="F54" s="30"/>
      <c r="G54" s="31">
        <v>0.05</v>
      </c>
      <c r="H54" s="32">
        <f>IF(F54&gt;0,F54*(1+G54),E54*(1+G54))</f>
      </c>
      <c r="I54" s="33"/>
      <c r="J54" s="33"/>
      <c r="K54" s="33"/>
      <c r="L54" s="34">
        <f>I54+J54+K54</f>
      </c>
      <c r="M54" s="35">
        <f>IF(E54&gt;0,E54*L54,0)</f>
      </c>
      <c r="N54" s="36">
        <f>IF(F54&gt;0,H54*L54,0)</f>
      </c>
      <c r="O54" s="37"/>
      <c r="P54" s="38" t="s">
        <v>70</v>
      </c>
    </row>
    <row r="55" ht="20" customHeight="1" spans="1:16" x14ac:dyDescent="0.25">
      <c r="A55" s="39">
        <v>40</v>
      </c>
      <c r="B55" s="40" t="s">
        <v>132</v>
      </c>
      <c r="C55" s="41" t="s">
        <v>136</v>
      </c>
      <c r="D55" s="42" t="s">
        <v>79</v>
      </c>
      <c r="E55" s="29"/>
      <c r="F55" s="30"/>
      <c r="G55" s="31">
        <v>0.05</v>
      </c>
      <c r="H55" s="32">
        <f>IF(F55&gt;0,F55*(1+G55),E55*(1+G55))</f>
      </c>
      <c r="I55" s="33"/>
      <c r="J55" s="33"/>
      <c r="K55" s="33"/>
      <c r="L55" s="34">
        <f>I55+J55+K55</f>
      </c>
      <c r="M55" s="35">
        <f>IF(E55&gt;0,E55*L55,0)</f>
      </c>
      <c r="N55" s="36">
        <f>IF(F55&gt;0,H55*L55,0)</f>
      </c>
      <c r="O55" s="37"/>
      <c r="P55" s="43" t="s">
        <v>70</v>
      </c>
    </row>
    <row r="56" ht="20" customHeight="1" spans="1:16" x14ac:dyDescent="0.25">
      <c r="A56" s="25">
        <v>41</v>
      </c>
      <c r="B56" s="26" t="s">
        <v>132</v>
      </c>
      <c r="C56" s="27" t="s">
        <v>137</v>
      </c>
      <c r="D56" s="28" t="s">
        <v>138</v>
      </c>
      <c r="E56" s="29"/>
      <c r="F56" s="30"/>
      <c r="G56" s="31">
        <v>0.05</v>
      </c>
      <c r="H56" s="32">
        <f>IF(F56&gt;0,F56*(1+G56),E56*(1+G56))</f>
      </c>
      <c r="I56" s="33"/>
      <c r="J56" s="33"/>
      <c r="K56" s="33"/>
      <c r="L56" s="34">
        <f>I56+J56+K56</f>
      </c>
      <c r="M56" s="35">
        <f>IF(E56&gt;0,E56*L56,0)</f>
      </c>
      <c r="N56" s="36">
        <f>IF(F56&gt;0,H56*L56,0)</f>
      </c>
      <c r="O56" s="37"/>
      <c r="P56" s="38" t="s">
        <v>70</v>
      </c>
    </row>
    <row r="57" ht="20" customHeight="1" spans="1:16" x14ac:dyDescent="0.25">
      <c r="A57" s="39">
        <v>42</v>
      </c>
      <c r="B57" s="40" t="s">
        <v>132</v>
      </c>
      <c r="C57" s="41" t="s">
        <v>139</v>
      </c>
      <c r="D57" s="42" t="s">
        <v>95</v>
      </c>
      <c r="E57" s="29"/>
      <c r="F57" s="30"/>
      <c r="G57" s="31">
        <v>0.05</v>
      </c>
      <c r="H57" s="32">
        <f>IF(F57&gt;0,F57*(1+G57),E57*(1+G57))</f>
      </c>
      <c r="I57" s="33"/>
      <c r="J57" s="33"/>
      <c r="K57" s="33"/>
      <c r="L57" s="34">
        <f>I57+J57+K57</f>
      </c>
      <c r="M57" s="35">
        <f>IF(E57&gt;0,E57*L57,0)</f>
      </c>
      <c r="N57" s="36">
        <f>IF(F57&gt;0,H57*L57,0)</f>
      </c>
      <c r="O57" s="37"/>
      <c r="P57" s="43" t="s">
        <v>70</v>
      </c>
    </row>
    <row r="58" ht="18" customHeight="1" spans="1:16" x14ac:dyDescent="0.25">
      <c r="A58" s="22" t="s">
        <v>140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4"/>
    </row>
    <row r="59" ht="20" customHeight="1" spans="1:16" x14ac:dyDescent="0.25">
      <c r="A59" s="25">
        <v>43</v>
      </c>
      <c r="B59" s="26" t="s">
        <v>141</v>
      </c>
      <c r="C59" s="27" t="s">
        <v>142</v>
      </c>
      <c r="D59" s="28" t="s">
        <v>122</v>
      </c>
      <c r="E59" s="29"/>
      <c r="F59" s="30"/>
      <c r="G59" s="31">
        <v>0.05</v>
      </c>
      <c r="H59" s="32">
        <f>IF(F59&gt;0,F59*(1+G59),E59*(1+G59))</f>
      </c>
      <c r="I59" s="33"/>
      <c r="J59" s="33"/>
      <c r="K59" s="33"/>
      <c r="L59" s="34">
        <f>I59+J59+K59</f>
      </c>
      <c r="M59" s="35">
        <f>IF(E59&gt;0,E59*L59,0)</f>
      </c>
      <c r="N59" s="36">
        <f>IF(F59&gt;0,H59*L59,0)</f>
      </c>
      <c r="O59" s="37"/>
      <c r="P59" s="38" t="s">
        <v>70</v>
      </c>
    </row>
    <row r="60" ht="20" customHeight="1" spans="1:16" x14ac:dyDescent="0.25">
      <c r="A60" s="39">
        <v>44</v>
      </c>
      <c r="B60" s="40" t="s">
        <v>141</v>
      </c>
      <c r="C60" s="41" t="s">
        <v>143</v>
      </c>
      <c r="D60" s="42" t="s">
        <v>95</v>
      </c>
      <c r="E60" s="29"/>
      <c r="F60" s="30"/>
      <c r="G60" s="31">
        <v>0.05</v>
      </c>
      <c r="H60" s="32">
        <f>IF(F60&gt;0,F60*(1+G60),E60*(1+G60))</f>
      </c>
      <c r="I60" s="33"/>
      <c r="J60" s="33"/>
      <c r="K60" s="33"/>
      <c r="L60" s="34">
        <f>I60+J60+K60</f>
      </c>
      <c r="M60" s="35">
        <f>IF(E60&gt;0,E60*L60,0)</f>
      </c>
      <c r="N60" s="36">
        <f>IF(F60&gt;0,H60*L60,0)</f>
      </c>
      <c r="O60" s="37"/>
      <c r="P60" s="43" t="s">
        <v>70</v>
      </c>
    </row>
    <row r="61" ht="20" customHeight="1" spans="1:16" x14ac:dyDescent="0.25">
      <c r="A61" s="25">
        <v>45</v>
      </c>
      <c r="B61" s="26" t="s">
        <v>141</v>
      </c>
      <c r="C61" s="27" t="s">
        <v>134</v>
      </c>
      <c r="D61" s="28" t="s">
        <v>79</v>
      </c>
      <c r="E61" s="29"/>
      <c r="F61" s="30"/>
      <c r="G61" s="31">
        <v>0.05</v>
      </c>
      <c r="H61" s="32">
        <f>IF(F61&gt;0,F61*(1+G61),E61*(1+G61))</f>
      </c>
      <c r="I61" s="33"/>
      <c r="J61" s="33"/>
      <c r="K61" s="33"/>
      <c r="L61" s="34">
        <f>I61+J61+K61</f>
      </c>
      <c r="M61" s="35">
        <f>IF(E61&gt;0,E61*L61,0)</f>
      </c>
      <c r="N61" s="36">
        <f>IF(F61&gt;0,H61*L61,0)</f>
      </c>
      <c r="O61" s="37"/>
      <c r="P61" s="38" t="s">
        <v>70</v>
      </c>
    </row>
    <row r="62" ht="20" customHeight="1" spans="1:16" x14ac:dyDescent="0.25">
      <c r="A62" s="39">
        <v>46</v>
      </c>
      <c r="B62" s="40" t="s">
        <v>141</v>
      </c>
      <c r="C62" s="41" t="s">
        <v>144</v>
      </c>
      <c r="D62" s="42" t="s">
        <v>145</v>
      </c>
      <c r="E62" s="29"/>
      <c r="F62" s="30"/>
      <c r="G62" s="31">
        <v>0.05</v>
      </c>
      <c r="H62" s="32">
        <f>IF(F62&gt;0,F62*(1+G62),E62*(1+G62))</f>
      </c>
      <c r="I62" s="33"/>
      <c r="J62" s="33"/>
      <c r="K62" s="33"/>
      <c r="L62" s="34">
        <f>I62+J62+K62</f>
      </c>
      <c r="M62" s="35">
        <f>IF(E62&gt;0,E62*L62,0)</f>
      </c>
      <c r="N62" s="36">
        <f>IF(F62&gt;0,H62*L62,0)</f>
      </c>
      <c r="O62" s="37"/>
      <c r="P62" s="43" t="s">
        <v>70</v>
      </c>
    </row>
    <row r="63" ht="18" customHeight="1" spans="1:16" x14ac:dyDescent="0.25">
      <c r="A63" s="22" t="s">
        <v>146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4"/>
    </row>
    <row r="64" ht="20" customHeight="1" spans="1:16" x14ac:dyDescent="0.25">
      <c r="A64" s="25">
        <v>47</v>
      </c>
      <c r="B64" s="26" t="s">
        <v>147</v>
      </c>
      <c r="C64" s="27" t="s">
        <v>148</v>
      </c>
      <c r="D64" s="28" t="s">
        <v>122</v>
      </c>
      <c r="E64" s="29"/>
      <c r="F64" s="30"/>
      <c r="G64" s="31">
        <v>0.05</v>
      </c>
      <c r="H64" s="32">
        <f>IF(F64&gt;0,F64*(1+G64),E64*(1+G64))</f>
      </c>
      <c r="I64" s="33"/>
      <c r="J64" s="33"/>
      <c r="K64" s="33"/>
      <c r="L64" s="34">
        <f>I64+J64+K64</f>
      </c>
      <c r="M64" s="35">
        <f>IF(E64&gt;0,E64*L64,0)</f>
      </c>
      <c r="N64" s="36">
        <f>IF(F64&gt;0,H64*L64,0)</f>
      </c>
      <c r="O64" s="37"/>
      <c r="P64" s="38" t="s">
        <v>70</v>
      </c>
    </row>
    <row r="65" ht="20" customHeight="1" spans="1:16" x14ac:dyDescent="0.25">
      <c r="A65" s="39">
        <v>48</v>
      </c>
      <c r="B65" s="40" t="s">
        <v>147</v>
      </c>
      <c r="C65" s="41" t="s">
        <v>149</v>
      </c>
      <c r="D65" s="42" t="s">
        <v>86</v>
      </c>
      <c r="E65" s="29"/>
      <c r="F65" s="30"/>
      <c r="G65" s="31">
        <v>0.05</v>
      </c>
      <c r="H65" s="32">
        <f>IF(F65&gt;0,F65*(1+G65),E65*(1+G65))</f>
      </c>
      <c r="I65" s="33"/>
      <c r="J65" s="33"/>
      <c r="K65" s="33"/>
      <c r="L65" s="34">
        <f>I65+J65+K65</f>
      </c>
      <c r="M65" s="35">
        <f>IF(E65&gt;0,E65*L65,0)</f>
      </c>
      <c r="N65" s="36">
        <f>IF(F65&gt;0,H65*L65,0)</f>
      </c>
      <c r="O65" s="37"/>
      <c r="P65" s="43" t="s">
        <v>70</v>
      </c>
    </row>
    <row r="66" ht="18" customHeight="1" spans="1:16" x14ac:dyDescent="0.25">
      <c r="A66" s="22" t="s">
        <v>150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4"/>
    </row>
    <row r="67" ht="20" customHeight="1" spans="1:16" x14ac:dyDescent="0.25">
      <c r="A67" s="25">
        <v>49</v>
      </c>
      <c r="B67" s="26" t="s">
        <v>151</v>
      </c>
      <c r="C67" s="27" t="s">
        <v>152</v>
      </c>
      <c r="D67" s="28" t="s">
        <v>79</v>
      </c>
      <c r="E67" s="29"/>
      <c r="F67" s="30"/>
      <c r="G67" s="31">
        <v>0.05</v>
      </c>
      <c r="H67" s="32">
        <f>IF(F67&gt;0,F67*(1+G67),E67*(1+G67))</f>
      </c>
      <c r="I67" s="33"/>
      <c r="J67" s="33"/>
      <c r="K67" s="33"/>
      <c r="L67" s="34">
        <f>I67+J67+K67</f>
      </c>
      <c r="M67" s="35">
        <f>IF(E67&gt;0,E67*L67,0)</f>
      </c>
      <c r="N67" s="36">
        <f>IF(F67&gt;0,H67*L67,0)</f>
      </c>
      <c r="O67" s="37"/>
      <c r="P67" s="38" t="s">
        <v>70</v>
      </c>
    </row>
    <row r="68" ht="20" customHeight="1" spans="1:16" x14ac:dyDescent="0.25">
      <c r="A68" s="39">
        <v>50</v>
      </c>
      <c r="B68" s="40" t="s">
        <v>151</v>
      </c>
      <c r="C68" s="41" t="s">
        <v>153</v>
      </c>
      <c r="D68" s="42" t="s">
        <v>88</v>
      </c>
      <c r="E68" s="29"/>
      <c r="F68" s="30"/>
      <c r="G68" s="31">
        <v>0.05</v>
      </c>
      <c r="H68" s="32">
        <f>IF(F68&gt;0,F68*(1+G68),E68*(1+G68))</f>
      </c>
      <c r="I68" s="33"/>
      <c r="J68" s="33"/>
      <c r="K68" s="33"/>
      <c r="L68" s="34">
        <f>I68+J68+K68</f>
      </c>
      <c r="M68" s="35">
        <f>IF(E68&gt;0,E68*L68,0)</f>
      </c>
      <c r="N68" s="36">
        <f>IF(F68&gt;0,H68*L68,0)</f>
      </c>
      <c r="O68" s="37"/>
      <c r="P68" s="43" t="s">
        <v>70</v>
      </c>
    </row>
    <row r="69" ht="20" customHeight="1" spans="1:16" x14ac:dyDescent="0.25">
      <c r="A69" s="25">
        <v>51</v>
      </c>
      <c r="B69" s="26" t="s">
        <v>151</v>
      </c>
      <c r="C69" s="27" t="s">
        <v>154</v>
      </c>
      <c r="D69" s="28" t="s">
        <v>122</v>
      </c>
      <c r="E69" s="29"/>
      <c r="F69" s="30"/>
      <c r="G69" s="31">
        <v>0.05</v>
      </c>
      <c r="H69" s="32">
        <f>IF(F69&gt;0,F69*(1+G69),E69*(1+G69))</f>
      </c>
      <c r="I69" s="33"/>
      <c r="J69" s="33"/>
      <c r="K69" s="33"/>
      <c r="L69" s="34">
        <f>I69+J69+K69</f>
      </c>
      <c r="M69" s="35">
        <f>IF(E69&gt;0,E69*L69,0)</f>
      </c>
      <c r="N69" s="36">
        <f>IF(F69&gt;0,H69*L69,0)</f>
      </c>
      <c r="O69" s="37"/>
      <c r="P69" s="38" t="s">
        <v>70</v>
      </c>
    </row>
    <row r="70" ht="20" customHeight="1" spans="1:16" x14ac:dyDescent="0.25">
      <c r="A70" s="39">
        <v>52</v>
      </c>
      <c r="B70" s="40" t="s">
        <v>151</v>
      </c>
      <c r="C70" s="41" t="s">
        <v>155</v>
      </c>
      <c r="D70" s="42" t="s">
        <v>82</v>
      </c>
      <c r="E70" s="29"/>
      <c r="F70" s="30"/>
      <c r="G70" s="31">
        <v>0.05</v>
      </c>
      <c r="H70" s="32">
        <f>IF(F70&gt;0,F70*(1+G70),E70*(1+G70))</f>
      </c>
      <c r="I70" s="33"/>
      <c r="J70" s="33"/>
      <c r="K70" s="33"/>
      <c r="L70" s="34">
        <f>I70+J70+K70</f>
      </c>
      <c r="M70" s="35">
        <f>IF(E70&gt;0,E70*L70,0)</f>
      </c>
      <c r="N70" s="36">
        <f>IF(F70&gt;0,H70*L70,0)</f>
      </c>
      <c r="O70" s="37"/>
      <c r="P70" s="43" t="s">
        <v>70</v>
      </c>
    </row>
    <row r="71" ht="22" customHeight="1" spans="1:16" x14ac:dyDescent="0.25">
      <c r="A71" s="44" t="s">
        <v>156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45">
        <f>SUM(M5:M70)</f>
      </c>
      <c r="N71" s="46">
        <f>SUM(N5:N70)</f>
      </c>
      <c r="O71" s="47"/>
      <c r="P71" s="47"/>
    </row>
    <row r="74" ht="24" customHeight="1" spans="1:16" x14ac:dyDescent="0.25">
      <c r="A74" s="48" t="s">
        <v>157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ht="22" customHeight="1" spans="1:16" x14ac:dyDescent="0.25">
      <c r="A75" s="9" t="s">
        <v>20</v>
      </c>
      <c r="B75" s="5"/>
      <c r="C75" s="5"/>
      <c r="D75" s="5"/>
      <c r="E75" s="5"/>
      <c r="F75" s="5"/>
      <c r="G75" s="5"/>
      <c r="H75" s="5"/>
      <c r="I75" s="5"/>
      <c r="J75" s="6"/>
      <c r="K75" s="49">
        <f>'Project Details'!B10</f>
      </c>
      <c r="L75" s="5"/>
      <c r="M75" s="5"/>
      <c r="N75" s="5"/>
      <c r="O75" s="5"/>
      <c r="P75" s="6"/>
    </row>
    <row r="76" ht="22" customHeight="1" spans="1:16" x14ac:dyDescent="0.25">
      <c r="A76" s="9" t="s">
        <v>158</v>
      </c>
      <c r="B76" s="5"/>
      <c r="C76" s="5"/>
      <c r="D76" s="5"/>
      <c r="E76" s="5"/>
      <c r="F76" s="5"/>
      <c r="G76" s="5"/>
      <c r="H76" s="5"/>
      <c r="I76" s="5"/>
      <c r="J76" s="6"/>
      <c r="K76" s="50">
        <f>M71</f>
      </c>
      <c r="L76" s="5"/>
      <c r="M76" s="5"/>
      <c r="N76" s="5"/>
      <c r="O76" s="5"/>
      <c r="P76" s="6"/>
    </row>
    <row r="77" ht="22" customHeight="1" spans="1:16" x14ac:dyDescent="0.25">
      <c r="A77" s="9" t="s">
        <v>159</v>
      </c>
      <c r="B77" s="5"/>
      <c r="C77" s="5"/>
      <c r="D77" s="5"/>
      <c r="E77" s="5"/>
      <c r="F77" s="5"/>
      <c r="G77" s="5"/>
      <c r="H77" s="5"/>
      <c r="I77" s="5"/>
      <c r="J77" s="6"/>
      <c r="K77" s="50">
        <f>'Project Details'!B10-M71</f>
      </c>
      <c r="L77" s="5"/>
      <c r="M77" s="5"/>
      <c r="N77" s="5"/>
      <c r="O77" s="5"/>
      <c r="P77" s="6"/>
    </row>
    <row r="78" ht="22" customHeight="1" spans="1:16" x14ac:dyDescent="0.25">
      <c r="A78" s="9" t="s">
        <v>160</v>
      </c>
      <c r="B78" s="5"/>
      <c r="C78" s="5"/>
      <c r="D78" s="5"/>
      <c r="E78" s="5"/>
      <c r="F78" s="5"/>
      <c r="G78" s="5"/>
      <c r="H78" s="5"/>
      <c r="I78" s="5"/>
      <c r="J78" s="6"/>
      <c r="K78" s="51">
        <f>IF('Project Details'!B10&gt;0,('Project Details'!B10-M71)/'Project Details'!B10,0)</f>
      </c>
      <c r="L78" s="5"/>
      <c r="M78" s="5"/>
      <c r="N78" s="5"/>
      <c r="O78" s="5"/>
      <c r="P78" s="6"/>
    </row>
    <row r="79" ht="8" customHeight="1" x14ac:dyDescent="0.25"/>
    <row r="80" ht="22" customHeight="1" spans="1:16" x14ac:dyDescent="0.25">
      <c r="A80" s="9" t="s">
        <v>161</v>
      </c>
      <c r="B80" s="5"/>
      <c r="C80" s="5"/>
      <c r="D80" s="5"/>
      <c r="E80" s="5"/>
      <c r="F80" s="5"/>
      <c r="G80" s="5"/>
      <c r="H80" s="5"/>
      <c r="I80" s="5"/>
      <c r="J80" s="6"/>
      <c r="K80" s="52">
        <f>N71</f>
      </c>
      <c r="L80" s="5"/>
      <c r="M80" s="5"/>
      <c r="N80" s="5"/>
      <c r="O80" s="5"/>
      <c r="P80" s="6"/>
    </row>
    <row r="81" ht="22" customHeight="1" spans="1:16" x14ac:dyDescent="0.25">
      <c r="A81" s="9" t="s">
        <v>162</v>
      </c>
      <c r="B81" s="5"/>
      <c r="C81" s="5"/>
      <c r="D81" s="5"/>
      <c r="E81" s="5"/>
      <c r="F81" s="5"/>
      <c r="G81" s="5"/>
      <c r="H81" s="5"/>
      <c r="I81" s="5"/>
      <c r="J81" s="6"/>
      <c r="K81" s="52">
        <f>'Project Details'!B10-N71</f>
      </c>
      <c r="L81" s="5"/>
      <c r="M81" s="5"/>
      <c r="N81" s="5"/>
      <c r="O81" s="5"/>
      <c r="P81" s="6"/>
    </row>
    <row r="82" ht="22" customHeight="1" spans="1:16" x14ac:dyDescent="0.25">
      <c r="A82" s="9" t="s">
        <v>163</v>
      </c>
      <c r="B82" s="5"/>
      <c r="C82" s="5"/>
      <c r="D82" s="5"/>
      <c r="E82" s="5"/>
      <c r="F82" s="5"/>
      <c r="G82" s="5"/>
      <c r="H82" s="5"/>
      <c r="I82" s="5"/>
      <c r="J82" s="6"/>
      <c r="K82" s="53">
        <f>IF('Project Details'!B10&gt;0,('Project Details'!B10-N71)/'Project Details'!B10,0)</f>
      </c>
      <c r="L82" s="5"/>
      <c r="M82" s="5"/>
      <c r="N82" s="5"/>
      <c r="O82" s="5"/>
      <c r="P82" s="6"/>
    </row>
    <row r="83" ht="8" customHeight="1" x14ac:dyDescent="0.25"/>
    <row r="84" ht="22" customHeight="1" spans="1:16" x14ac:dyDescent="0.25">
      <c r="A84" s="9" t="s">
        <v>164</v>
      </c>
      <c r="B84" s="5"/>
      <c r="C84" s="5"/>
      <c r="D84" s="5"/>
      <c r="E84" s="5"/>
      <c r="F84" s="5"/>
      <c r="G84" s="5"/>
      <c r="H84" s="5"/>
      <c r="I84" s="5"/>
      <c r="J84" s="6"/>
      <c r="K84" s="54">
        <f>N71-M71</f>
      </c>
      <c r="L84" s="5"/>
      <c r="M84" s="5"/>
      <c r="N84" s="5"/>
      <c r="O84" s="5"/>
      <c r="P84" s="6"/>
    </row>
    <row r="85" ht="22" customHeight="1" spans="1:16" x14ac:dyDescent="0.25">
      <c r="A85" s="9" t="s">
        <v>165</v>
      </c>
      <c r="B85" s="5"/>
      <c r="C85" s="5"/>
      <c r="D85" s="5"/>
      <c r="E85" s="5"/>
      <c r="F85" s="5"/>
      <c r="G85" s="5"/>
      <c r="H85" s="5"/>
      <c r="I85" s="5"/>
      <c r="J85" s="6"/>
      <c r="K85" s="55">
        <f>IF(M71&gt;0,(N71-M71)/M71,0)</f>
      </c>
      <c r="L85" s="5"/>
      <c r="M85" s="5"/>
      <c r="N85" s="5"/>
      <c r="O85" s="5"/>
      <c r="P85" s="6"/>
    </row>
  </sheetData>
  <mergeCells count="40">
    <mergeCell ref="A1:P1"/>
    <mergeCell ref="A2:P2"/>
    <mergeCell ref="A3:D3"/>
    <mergeCell ref="G3:H3"/>
    <mergeCell ref="I3:L3"/>
    <mergeCell ref="M3:N3"/>
    <mergeCell ref="A5:P5"/>
    <mergeCell ref="A9:P9"/>
    <mergeCell ref="A16:P16"/>
    <mergeCell ref="A19:P19"/>
    <mergeCell ref="A24:P24"/>
    <mergeCell ref="A28:P28"/>
    <mergeCell ref="A32:P32"/>
    <mergeCell ref="A38:P38"/>
    <mergeCell ref="A42:P42"/>
    <mergeCell ref="A47:P47"/>
    <mergeCell ref="A51:P51"/>
    <mergeCell ref="A58:P58"/>
    <mergeCell ref="A63:P63"/>
    <mergeCell ref="A66:P66"/>
    <mergeCell ref="A71:L71"/>
    <mergeCell ref="A74:P74"/>
    <mergeCell ref="A75:J75"/>
    <mergeCell ref="K75:P75"/>
    <mergeCell ref="A76:J76"/>
    <mergeCell ref="K76:P76"/>
    <mergeCell ref="A77:J77"/>
    <mergeCell ref="K77:P77"/>
    <mergeCell ref="A78:J78"/>
    <mergeCell ref="K78:P78"/>
    <mergeCell ref="A80:J80"/>
    <mergeCell ref="K80:P80"/>
    <mergeCell ref="A81:J81"/>
    <mergeCell ref="K81:P81"/>
    <mergeCell ref="A82:J82"/>
    <mergeCell ref="K82:P82"/>
    <mergeCell ref="A84:J84"/>
    <mergeCell ref="K84:P84"/>
    <mergeCell ref="A85:J85"/>
    <mergeCell ref="K85:P85"/>
  </mergeCells>
  <dataValidations count="28">
    <dataValidation type="list" allowBlank="1" showInputMessage="1" promptTitle="Pick value" prompt="Select unit" showErrorMessage="1" errorTitle="Invalid Entry" error="Please select from the dropdown list" sqref="D10:D15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17:D18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20:D23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25:D27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29:D31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33:D37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39:D41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43:D46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48:D50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52:D57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59:D62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6:D8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64:D65">
      <formula1>"KG,SFT,SQM,RFT,MTR,CFT,Nos,Lot,Lots,Tubes,Set"</formula1>
    </dataValidation>
    <dataValidation type="list" allowBlank="1" showInputMessage="1" promptTitle="Pick value" prompt="Select unit" showErrorMessage="1" errorTitle="Invalid Entry" error="Please select from the dropdown list" sqref="D67:D70">
      <formula1>"KG,SFT,SQM,RFT,MTR,CFT,Nos,Lot,Lots,Tubes,Set"</formula1>
    </dataValidation>
    <dataValidation type="list" allowBlank="1" showInputMessage="1" promptTitle="Pick value" prompt="Select scope" showErrorMessage="1" errorTitle="Invalid Entry" error="Please select from the dropdown list" sqref="P10:P15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17:P18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20:P23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25:P27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29:P31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33:P37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39:P41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43:P46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48:P50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52:P57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59:P62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6:P8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64:P65">
      <formula1>"Habitainer,External,Not in Scope,TBD"</formula1>
    </dataValidation>
    <dataValidation type="list" allowBlank="1" showInputMessage="1" promptTitle="Pick value" prompt="Select scope" showErrorMessage="1" errorTitle="Invalid Entry" error="Please select from the dropdown list" sqref="P67:P70">
      <formula1>"Habitainer,External,Not in Scope,TBD"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" customWidth="1"/>
    <col min="2" max="2" width="32" customWidth="1"/>
    <col min="3" max="3" width="12" customWidth="1"/>
    <col min="4" max="5" width="16" customWidth="1"/>
    <col min="6" max="7" width="18" customWidth="1"/>
  </cols>
  <sheetData>
    <row r="1" ht="30" customHeight="1" spans="1:7" x14ac:dyDescent="0.25">
      <c r="A1" s="1" t="s">
        <v>166</v>
      </c>
      <c r="B1" s="2"/>
      <c r="C1" s="2"/>
      <c r="D1" s="2"/>
      <c r="E1" s="2"/>
      <c r="F1" s="2"/>
      <c r="G1" s="3"/>
    </row>
    <row r="2" ht="14" customHeight="1" spans="1:7" x14ac:dyDescent="0.25">
      <c r="A2" s="17" t="s">
        <v>167</v>
      </c>
      <c r="B2" s="5"/>
      <c r="C2" s="5"/>
      <c r="D2" s="5"/>
      <c r="E2" s="5"/>
      <c r="F2" s="5"/>
      <c r="G2" s="6"/>
    </row>
    <row r="3" ht="14" customHeight="1" spans="1:7" x14ac:dyDescent="0.25">
      <c r="A3" s="7" t="s">
        <v>168</v>
      </c>
      <c r="B3"/>
      <c r="C3"/>
      <c r="D3"/>
      <c r="E3"/>
      <c r="F3"/>
      <c r="G3"/>
    </row>
    <row r="4" ht="32" customHeight="1" spans="1:7" x14ac:dyDescent="0.25">
      <c r="A4" s="18" t="s">
        <v>169</v>
      </c>
      <c r="B4" s="18" t="s">
        <v>170</v>
      </c>
      <c r="C4" s="18" t="s">
        <v>171</v>
      </c>
      <c r="D4" s="18" t="s">
        <v>172</v>
      </c>
      <c r="E4" s="18" t="s">
        <v>173</v>
      </c>
      <c r="F4" s="18" t="s">
        <v>174</v>
      </c>
      <c r="G4" s="18" t="s">
        <v>175</v>
      </c>
    </row>
    <row r="5" ht="20" customHeight="1" spans="1:7" x14ac:dyDescent="0.25">
      <c r="A5" s="8" t="s">
        <v>176</v>
      </c>
      <c r="B5" s="5"/>
      <c r="C5" s="5"/>
      <c r="D5" s="5"/>
      <c r="E5" s="5"/>
      <c r="F5" s="5"/>
      <c r="G5" s="6"/>
    </row>
    <row r="6" ht="20" customHeight="1" spans="1:7" x14ac:dyDescent="0.25">
      <c r="A6" s="56">
        <v>1</v>
      </c>
      <c r="B6" s="27" t="s">
        <v>177</v>
      </c>
      <c r="C6" s="57"/>
      <c r="D6" s="58"/>
      <c r="E6" s="58"/>
      <c r="F6" s="59">
        <f>IF(AND(D6&lt;&gt;"",E6&lt;&gt;""),E6-D6,"")</f>
      </c>
      <c r="G6" s="13"/>
    </row>
    <row r="7" ht="20" customHeight="1" spans="1:7" x14ac:dyDescent="0.25">
      <c r="A7" s="56">
        <v>2</v>
      </c>
      <c r="B7" s="60" t="s">
        <v>178</v>
      </c>
      <c r="C7" s="57"/>
      <c r="D7" s="58"/>
      <c r="E7" s="58"/>
      <c r="F7" s="59">
        <f>IF(AND(D7&lt;&gt;"",E7&lt;&gt;""),E7-D7,"")</f>
      </c>
      <c r="G7" s="13"/>
    </row>
    <row r="8" ht="20" customHeight="1" spans="1:7" x14ac:dyDescent="0.25">
      <c r="A8" s="56">
        <v>3</v>
      </c>
      <c r="B8" s="27" t="s">
        <v>179</v>
      </c>
      <c r="C8" s="57"/>
      <c r="D8" s="58"/>
      <c r="E8" s="58"/>
      <c r="F8" s="59">
        <f>IF(AND(D8&lt;&gt;"",E8&lt;&gt;""),E8-D8,"")</f>
      </c>
      <c r="G8" s="13"/>
    </row>
    <row r="9" ht="20" customHeight="1" spans="1:7" x14ac:dyDescent="0.25">
      <c r="A9" s="56">
        <v>4</v>
      </c>
      <c r="B9" s="41" t="s">
        <v>180</v>
      </c>
      <c r="C9" s="57"/>
      <c r="D9" s="58"/>
      <c r="E9" s="58"/>
      <c r="F9" s="59">
        <f>IF(AND(D9&lt;&gt;"",E9&lt;&gt;""),E9-D9,"")</f>
      </c>
      <c r="G9" s="13"/>
    </row>
    <row r="10" ht="20" customHeight="1" spans="1:7" x14ac:dyDescent="0.25">
      <c r="A10" s="56">
        <v>5</v>
      </c>
      <c r="B10" s="27" t="s">
        <v>181</v>
      </c>
      <c r="C10" s="57"/>
      <c r="D10" s="58"/>
      <c r="E10" s="58"/>
      <c r="F10" s="59">
        <f>IF(AND(D10&lt;&gt;"",E10&lt;&gt;""),E10-D10,"")</f>
      </c>
      <c r="G10" s="13"/>
    </row>
    <row r="11" ht="20" customHeight="1" spans="1:7" x14ac:dyDescent="0.25">
      <c r="A11" s="56">
        <v>6</v>
      </c>
      <c r="B11" s="60" t="s">
        <v>182</v>
      </c>
      <c r="C11" s="57"/>
      <c r="D11" s="58"/>
      <c r="E11" s="58"/>
      <c r="F11" s="59">
        <f>IF(AND(D11&lt;&gt;"",E11&lt;&gt;""),E11-D11,"")</f>
      </c>
      <c r="G11" s="13"/>
    </row>
    <row r="12" ht="20" customHeight="1" spans="1:7" x14ac:dyDescent="0.25">
      <c r="A12" s="56">
        <v>7</v>
      </c>
      <c r="B12" s="27" t="s">
        <v>183</v>
      </c>
      <c r="C12" s="57"/>
      <c r="D12" s="58"/>
      <c r="E12" s="58"/>
      <c r="F12" s="59">
        <f>IF(AND(D12&lt;&gt;"",E12&lt;&gt;""),E12-D12,"")</f>
      </c>
      <c r="G12" s="13"/>
    </row>
    <row r="13" ht="20" customHeight="1" spans="1:7" x14ac:dyDescent="0.25">
      <c r="A13" s="56">
        <v>8</v>
      </c>
      <c r="B13" s="41" t="s">
        <v>184</v>
      </c>
      <c r="C13" s="57"/>
      <c r="D13" s="58"/>
      <c r="E13" s="58"/>
      <c r="F13" s="59">
        <f>IF(AND(D13&lt;&gt;"",E13&lt;&gt;""),E13-D13,"")</f>
      </c>
      <c r="G13" s="13"/>
    </row>
    <row r="14" ht="20" customHeight="1" spans="1:7" x14ac:dyDescent="0.25">
      <c r="A14" s="56">
        <v>9</v>
      </c>
      <c r="B14" s="27" t="s">
        <v>147</v>
      </c>
      <c r="C14" s="57"/>
      <c r="D14" s="58"/>
      <c r="E14" s="58"/>
      <c r="F14" s="59">
        <f>IF(AND(D14&lt;&gt;"",E14&lt;&gt;""),E14-D14,"")</f>
      </c>
      <c r="G14" s="13"/>
    </row>
    <row r="15" ht="20" customHeight="1" spans="1:7" x14ac:dyDescent="0.25">
      <c r="A15" s="56">
        <v>10</v>
      </c>
      <c r="B15" s="41" t="s">
        <v>185</v>
      </c>
      <c r="C15" s="57"/>
      <c r="D15" s="58"/>
      <c r="E15" s="58"/>
      <c r="F15" s="59">
        <f>IF(AND(D15&lt;&gt;"",E15&lt;&gt;""),E15-D15,"")</f>
      </c>
      <c r="G15" s="13"/>
    </row>
    <row r="16" ht="20" customHeight="1" spans="1:7" x14ac:dyDescent="0.25">
      <c r="A16" s="56">
        <v>11</v>
      </c>
      <c r="B16" s="27" t="s">
        <v>132</v>
      </c>
      <c r="C16" s="57"/>
      <c r="D16" s="58"/>
      <c r="E16" s="58"/>
      <c r="F16" s="59">
        <f>IF(AND(D16&lt;&gt;"",E16&lt;&gt;""),E16-D16,"")</f>
      </c>
      <c r="G16" s="13"/>
    </row>
    <row r="17" ht="20" customHeight="1" spans="1:7" x14ac:dyDescent="0.25">
      <c r="A17" s="56">
        <v>12</v>
      </c>
      <c r="B17" s="41" t="s">
        <v>186</v>
      </c>
      <c r="C17" s="57"/>
      <c r="D17" s="58"/>
      <c r="E17" s="58"/>
      <c r="F17" s="59">
        <f>IF(AND(D17&lt;&gt;"",E17&lt;&gt;""),E17-D17,"")</f>
      </c>
      <c r="G17" s="13"/>
    </row>
    <row r="18" ht="20" customHeight="1" spans="1:7" x14ac:dyDescent="0.25">
      <c r="A18" s="56">
        <v>13</v>
      </c>
      <c r="B18" s="27" t="s">
        <v>187</v>
      </c>
      <c r="C18" s="57"/>
      <c r="D18" s="58"/>
      <c r="E18" s="58"/>
      <c r="F18" s="59">
        <f>IF(AND(D18&lt;&gt;"",E18&lt;&gt;""),E18-D18,"")</f>
      </c>
      <c r="G18" s="13"/>
    </row>
    <row r="19" ht="20" customHeight="1" spans="1:7" x14ac:dyDescent="0.25">
      <c r="A19" s="56">
        <v>14</v>
      </c>
      <c r="B19" s="41" t="s">
        <v>188</v>
      </c>
      <c r="C19" s="57"/>
      <c r="D19" s="58"/>
      <c r="E19" s="58"/>
      <c r="F19" s="59">
        <f>IF(AND(D19&lt;&gt;"",E19&lt;&gt;""),E19-D19,"")</f>
      </c>
      <c r="G19" s="13"/>
    </row>
    <row r="20" ht="20" customHeight="1" spans="1:7" x14ac:dyDescent="0.25">
      <c r="A20" s="56">
        <v>15</v>
      </c>
      <c r="B20" s="27" t="s">
        <v>189</v>
      </c>
      <c r="C20" s="57"/>
      <c r="D20" s="58"/>
      <c r="E20" s="58"/>
      <c r="F20" s="59">
        <f>IF(AND(D20&lt;&gt;"",E20&lt;&gt;""),E20-D20,"")</f>
      </c>
      <c r="G20" s="13"/>
    </row>
    <row r="22" ht="20" customHeight="1" spans="1:7" x14ac:dyDescent="0.25">
      <c r="A22" s="61" t="s">
        <v>190</v>
      </c>
      <c r="B22" s="5"/>
      <c r="C22" s="5"/>
      <c r="D22" s="5"/>
      <c r="E22" s="5"/>
      <c r="F22" s="5"/>
      <c r="G22" s="6"/>
    </row>
    <row r="23" ht="18" customHeight="1" spans="1:6" x14ac:dyDescent="0.25">
      <c r="A23" s="62">
        <v>16</v>
      </c>
      <c r="B23" s="63" t="s">
        <v>191</v>
      </c>
      <c r="C23" s="64"/>
      <c r="D23" s="64" t="s">
        <v>192</v>
      </c>
      <c r="E23" s="64" t="s">
        <v>192</v>
      </c>
      <c r="F23" s="64"/>
    </row>
    <row r="24" ht="18" customHeight="1" spans="1:6" x14ac:dyDescent="0.25">
      <c r="A24" s="62">
        <v>17</v>
      </c>
      <c r="B24" s="63" t="s">
        <v>193</v>
      </c>
      <c r="C24" s="64"/>
      <c r="D24" s="64" t="s">
        <v>192</v>
      </c>
      <c r="E24" s="64" t="s">
        <v>192</v>
      </c>
      <c r="F24" s="64"/>
    </row>
    <row r="25" ht="18" customHeight="1" spans="1:6" x14ac:dyDescent="0.25">
      <c r="A25" s="62">
        <v>18</v>
      </c>
      <c r="B25" s="63" t="s">
        <v>194</v>
      </c>
      <c r="C25" s="64"/>
      <c r="D25" s="64" t="s">
        <v>192</v>
      </c>
      <c r="E25" s="64" t="s">
        <v>192</v>
      </c>
      <c r="F25" s="64"/>
    </row>
    <row r="26" ht="18" customHeight="1" spans="1:6" x14ac:dyDescent="0.25">
      <c r="A26" s="62">
        <v>19</v>
      </c>
      <c r="B26" s="63" t="s">
        <v>195</v>
      </c>
      <c r="C26" s="64"/>
      <c r="D26" s="64" t="s">
        <v>192</v>
      </c>
      <c r="E26" s="64" t="s">
        <v>192</v>
      </c>
      <c r="F26" s="64"/>
    </row>
    <row r="27" ht="18" customHeight="1" spans="1:6" x14ac:dyDescent="0.25">
      <c r="A27" s="62">
        <v>20</v>
      </c>
      <c r="B27" s="63" t="s">
        <v>196</v>
      </c>
      <c r="C27" s="64"/>
      <c r="D27" s="64" t="s">
        <v>192</v>
      </c>
      <c r="E27" s="64" t="s">
        <v>192</v>
      </c>
      <c r="F27" s="64"/>
    </row>
    <row r="28" ht="18" customHeight="1" spans="1:6" x14ac:dyDescent="0.25">
      <c r="A28" s="62">
        <v>21</v>
      </c>
      <c r="B28" s="63" t="s">
        <v>197</v>
      </c>
      <c r="C28" s="64"/>
      <c r="D28" s="64" t="s">
        <v>192</v>
      </c>
      <c r="E28" s="64" t="s">
        <v>192</v>
      </c>
      <c r="F28" s="64"/>
    </row>
    <row r="29" ht="18" customHeight="1" spans="1:6" x14ac:dyDescent="0.25">
      <c r="A29" s="62">
        <v>22</v>
      </c>
      <c r="B29" s="63" t="s">
        <v>198</v>
      </c>
      <c r="C29" s="64"/>
      <c r="D29" s="64" t="s">
        <v>192</v>
      </c>
      <c r="E29" s="64" t="s">
        <v>192</v>
      </c>
      <c r="F29" s="64"/>
    </row>
    <row r="30" ht="18" customHeight="1" spans="1:6" x14ac:dyDescent="0.25">
      <c r="A30" s="62">
        <v>23</v>
      </c>
      <c r="B30" s="63" t="s">
        <v>199</v>
      </c>
      <c r="C30" s="64"/>
      <c r="D30" s="64" t="s">
        <v>192</v>
      </c>
      <c r="E30" s="64" t="s">
        <v>192</v>
      </c>
      <c r="F30" s="64"/>
    </row>
  </sheetData>
  <mergeCells count="5">
    <mergeCell ref="A1:G1"/>
    <mergeCell ref="A2:G2"/>
    <mergeCell ref="A3:G3"/>
    <mergeCell ref="A5:G5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67"/>
  <sheetViews>
    <sheetView workbookViewId="0" showGridLines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34" customWidth="1"/>
    <col min="4" max="4" width="10" customWidth="1"/>
    <col min="5" max="6" width="14" customWidth="1"/>
    <col min="7" max="9" width="18" customWidth="1"/>
    <col min="10" max="10" width="20" customWidth="1"/>
  </cols>
  <sheetData>
    <row r="1" ht="30" customHeight="1" spans="1:10" x14ac:dyDescent="0.25">
      <c r="A1" s="1" t="s">
        <v>200</v>
      </c>
      <c r="B1" s="2"/>
      <c r="C1" s="2"/>
      <c r="D1" s="2"/>
      <c r="E1" s="2"/>
      <c r="F1" s="2"/>
      <c r="G1" s="2"/>
      <c r="H1" s="2"/>
      <c r="I1" s="2"/>
      <c r="J1" s="3"/>
    </row>
    <row r="2" ht="14" customHeight="1" spans="1:10" x14ac:dyDescent="0.25">
      <c r="A2" s="17" t="s">
        <v>201</v>
      </c>
      <c r="B2" s="5"/>
      <c r="C2" s="5"/>
      <c r="D2" s="5"/>
      <c r="E2" s="5"/>
      <c r="F2" s="5"/>
      <c r="G2" s="5"/>
      <c r="H2" s="5"/>
      <c r="I2" s="5"/>
      <c r="J2" s="6"/>
    </row>
    <row r="3" ht="14" customHeight="1" spans="1:10" x14ac:dyDescent="0.25">
      <c r="A3" s="7" t="s">
        <v>202</v>
      </c>
      <c r="B3"/>
      <c r="C3"/>
      <c r="D3"/>
      <c r="E3"/>
      <c r="F3"/>
      <c r="G3"/>
      <c r="H3"/>
      <c r="I3"/>
      <c r="J3"/>
    </row>
    <row r="4" ht="32" customHeight="1" spans="1:10" x14ac:dyDescent="0.25">
      <c r="A4" s="18" t="s">
        <v>169</v>
      </c>
      <c r="B4" s="18" t="s">
        <v>203</v>
      </c>
      <c r="C4" s="18" t="s">
        <v>204</v>
      </c>
      <c r="D4" s="18" t="s">
        <v>53</v>
      </c>
      <c r="E4" s="18" t="s">
        <v>205</v>
      </c>
      <c r="F4" s="18" t="s">
        <v>206</v>
      </c>
      <c r="G4" s="18" t="s">
        <v>207</v>
      </c>
      <c r="H4" s="18" t="s">
        <v>208</v>
      </c>
      <c r="I4" s="18" t="s">
        <v>209</v>
      </c>
      <c r="J4" s="18" t="s">
        <v>210</v>
      </c>
    </row>
    <row r="5" ht="18" customHeight="1" spans="1:10" x14ac:dyDescent="0.25">
      <c r="A5" s="65" t="s">
        <v>211</v>
      </c>
      <c r="B5" s="5"/>
      <c r="C5" s="5"/>
      <c r="D5" s="5"/>
      <c r="E5" s="5"/>
      <c r="F5" s="5"/>
      <c r="G5" s="5"/>
      <c r="H5" s="5"/>
      <c r="I5" s="5"/>
      <c r="J5" s="6"/>
    </row>
    <row r="6" ht="20" customHeight="1" spans="1:10" x14ac:dyDescent="0.25">
      <c r="A6" s="66">
        <v>1</v>
      </c>
      <c r="B6" s="67" t="s">
        <v>212</v>
      </c>
      <c r="C6" s="27" t="s">
        <v>213</v>
      </c>
      <c r="D6" s="28" t="s">
        <v>69</v>
      </c>
      <c r="E6" s="29"/>
      <c r="F6" s="68"/>
      <c r="G6" s="69"/>
      <c r="H6" s="69"/>
      <c r="I6" s="28" t="s">
        <v>214</v>
      </c>
      <c r="J6" s="13"/>
    </row>
    <row r="7" ht="20" customHeight="1" spans="1:10" x14ac:dyDescent="0.25">
      <c r="A7" s="70">
        <v>2</v>
      </c>
      <c r="B7" s="71" t="s">
        <v>212</v>
      </c>
      <c r="C7" s="41" t="s">
        <v>215</v>
      </c>
      <c r="D7" s="42" t="s">
        <v>69</v>
      </c>
      <c r="E7" s="29"/>
      <c r="F7" s="68"/>
      <c r="G7" s="69"/>
      <c r="H7" s="69"/>
      <c r="I7" s="42" t="s">
        <v>214</v>
      </c>
      <c r="J7" s="13"/>
    </row>
    <row r="8" ht="20" customHeight="1" spans="1:10" x14ac:dyDescent="0.25">
      <c r="A8" s="66">
        <v>3</v>
      </c>
      <c r="B8" s="67" t="s">
        <v>212</v>
      </c>
      <c r="C8" s="27" t="s">
        <v>216</v>
      </c>
      <c r="D8" s="28" t="s">
        <v>69</v>
      </c>
      <c r="E8" s="29"/>
      <c r="F8" s="68"/>
      <c r="G8" s="69"/>
      <c r="H8" s="69"/>
      <c r="I8" s="28" t="s">
        <v>214</v>
      </c>
      <c r="J8" s="13"/>
    </row>
    <row r="9" ht="20" customHeight="1" spans="1:10" x14ac:dyDescent="0.25">
      <c r="A9" s="70">
        <v>4</v>
      </c>
      <c r="B9" s="71" t="s">
        <v>212</v>
      </c>
      <c r="C9" s="41" t="s">
        <v>75</v>
      </c>
      <c r="D9" s="42" t="s">
        <v>69</v>
      </c>
      <c r="E9" s="29"/>
      <c r="F9" s="68"/>
      <c r="G9" s="69"/>
      <c r="H9" s="69"/>
      <c r="I9" s="42" t="s">
        <v>214</v>
      </c>
      <c r="J9" s="13"/>
    </row>
    <row r="10" ht="20" customHeight="1" spans="1:10" x14ac:dyDescent="0.25">
      <c r="A10" s="66">
        <v>5</v>
      </c>
      <c r="B10" s="67" t="s">
        <v>212</v>
      </c>
      <c r="C10" s="27" t="s">
        <v>76</v>
      </c>
      <c r="D10" s="28" t="s">
        <v>69</v>
      </c>
      <c r="E10" s="29"/>
      <c r="F10" s="68"/>
      <c r="G10" s="69"/>
      <c r="H10" s="69"/>
      <c r="I10" s="28" t="s">
        <v>214</v>
      </c>
      <c r="J10" s="13"/>
    </row>
    <row r="11" ht="20" customHeight="1" spans="1:10" x14ac:dyDescent="0.25">
      <c r="A11" s="70">
        <v>6</v>
      </c>
      <c r="B11" s="71" t="s">
        <v>212</v>
      </c>
      <c r="C11" s="41" t="s">
        <v>77</v>
      </c>
      <c r="D11" s="42" t="s">
        <v>69</v>
      </c>
      <c r="E11" s="29"/>
      <c r="F11" s="68"/>
      <c r="G11" s="69"/>
      <c r="H11" s="69"/>
      <c r="I11" s="42" t="s">
        <v>214</v>
      </c>
      <c r="J11" s="13"/>
    </row>
    <row r="12" ht="20" customHeight="1" spans="1:10" x14ac:dyDescent="0.25">
      <c r="A12" s="66">
        <v>7</v>
      </c>
      <c r="B12" s="67" t="s">
        <v>212</v>
      </c>
      <c r="C12" s="27" t="s">
        <v>78</v>
      </c>
      <c r="D12" s="28" t="s">
        <v>79</v>
      </c>
      <c r="E12" s="29"/>
      <c r="F12" s="68"/>
      <c r="G12" s="69"/>
      <c r="H12" s="69"/>
      <c r="I12" s="28" t="s">
        <v>214</v>
      </c>
      <c r="J12" s="13"/>
    </row>
    <row r="13" ht="20" customHeight="1" spans="1:10" x14ac:dyDescent="0.25">
      <c r="A13" s="70">
        <v>8</v>
      </c>
      <c r="B13" s="71" t="s">
        <v>212</v>
      </c>
      <c r="C13" s="41" t="s">
        <v>80</v>
      </c>
      <c r="D13" s="42" t="s">
        <v>79</v>
      </c>
      <c r="E13" s="29"/>
      <c r="F13" s="68"/>
      <c r="G13" s="69"/>
      <c r="H13" s="69"/>
      <c r="I13" s="42" t="s">
        <v>214</v>
      </c>
      <c r="J13" s="13"/>
    </row>
    <row r="14" ht="20" customHeight="1" spans="1:10" x14ac:dyDescent="0.25">
      <c r="A14" s="66">
        <v>9</v>
      </c>
      <c r="B14" s="67" t="s">
        <v>212</v>
      </c>
      <c r="C14" s="27" t="s">
        <v>217</v>
      </c>
      <c r="D14" s="28" t="s">
        <v>82</v>
      </c>
      <c r="E14" s="29"/>
      <c r="F14" s="68"/>
      <c r="G14" s="69"/>
      <c r="H14" s="69"/>
      <c r="I14" s="28" t="s">
        <v>214</v>
      </c>
      <c r="J14" s="13"/>
    </row>
    <row r="15" ht="20" customHeight="1" spans="1:10" x14ac:dyDescent="0.25">
      <c r="A15" s="70">
        <v>10</v>
      </c>
      <c r="B15" s="71" t="s">
        <v>212</v>
      </c>
      <c r="C15" s="41" t="s">
        <v>152</v>
      </c>
      <c r="D15" s="42" t="s">
        <v>79</v>
      </c>
      <c r="E15" s="29"/>
      <c r="F15" s="68"/>
      <c r="G15" s="69"/>
      <c r="H15" s="69"/>
      <c r="I15" s="42" t="s">
        <v>214</v>
      </c>
      <c r="J15" s="13"/>
    </row>
    <row r="16" ht="18" customHeight="1" spans="1:10" x14ac:dyDescent="0.25">
      <c r="A16" s="65" t="s">
        <v>218</v>
      </c>
      <c r="B16" s="5"/>
      <c r="C16" s="5"/>
      <c r="D16" s="5"/>
      <c r="E16" s="5"/>
      <c r="F16" s="5"/>
      <c r="G16" s="5"/>
      <c r="H16" s="5"/>
      <c r="I16" s="5"/>
      <c r="J16" s="6"/>
    </row>
    <row r="17" ht="20" customHeight="1" spans="1:10" x14ac:dyDescent="0.25">
      <c r="A17" s="66">
        <v>11</v>
      </c>
      <c r="B17" s="67" t="s">
        <v>219</v>
      </c>
      <c r="C17" s="27" t="s">
        <v>85</v>
      </c>
      <c r="D17" s="28" t="s">
        <v>86</v>
      </c>
      <c r="E17" s="29"/>
      <c r="F17" s="68"/>
      <c r="G17" s="69"/>
      <c r="H17" s="69"/>
      <c r="I17" s="28" t="s">
        <v>214</v>
      </c>
      <c r="J17" s="13"/>
    </row>
    <row r="18" ht="20" customHeight="1" spans="1:10" x14ac:dyDescent="0.25">
      <c r="A18" s="70">
        <v>12</v>
      </c>
      <c r="B18" s="71" t="s">
        <v>219</v>
      </c>
      <c r="C18" s="41" t="s">
        <v>87</v>
      </c>
      <c r="D18" s="42" t="s">
        <v>88</v>
      </c>
      <c r="E18" s="29"/>
      <c r="F18" s="68"/>
      <c r="G18" s="69"/>
      <c r="H18" s="69"/>
      <c r="I18" s="42" t="s">
        <v>214</v>
      </c>
      <c r="J18" s="13"/>
    </row>
    <row r="19" ht="20" customHeight="1" spans="1:10" x14ac:dyDescent="0.25">
      <c r="A19" s="66">
        <v>13</v>
      </c>
      <c r="B19" s="67" t="s">
        <v>219</v>
      </c>
      <c r="C19" s="27" t="s">
        <v>91</v>
      </c>
      <c r="D19" s="28" t="s">
        <v>86</v>
      </c>
      <c r="E19" s="29"/>
      <c r="F19" s="68"/>
      <c r="G19" s="69"/>
      <c r="H19" s="69"/>
      <c r="I19" s="28" t="s">
        <v>214</v>
      </c>
      <c r="J19" s="13"/>
    </row>
    <row r="20" ht="20" customHeight="1" spans="1:10" x14ac:dyDescent="0.25">
      <c r="A20" s="70">
        <v>14</v>
      </c>
      <c r="B20" s="71" t="s">
        <v>219</v>
      </c>
      <c r="C20" s="41" t="s">
        <v>92</v>
      </c>
      <c r="D20" s="42" t="s">
        <v>86</v>
      </c>
      <c r="E20" s="29"/>
      <c r="F20" s="68"/>
      <c r="G20" s="69"/>
      <c r="H20" s="69"/>
      <c r="I20" s="42" t="s">
        <v>214</v>
      </c>
      <c r="J20" s="13"/>
    </row>
    <row r="21" ht="20" customHeight="1" spans="1:10" x14ac:dyDescent="0.25">
      <c r="A21" s="66">
        <v>15</v>
      </c>
      <c r="B21" s="67" t="s">
        <v>219</v>
      </c>
      <c r="C21" s="27" t="s">
        <v>104</v>
      </c>
      <c r="D21" s="28" t="s">
        <v>86</v>
      </c>
      <c r="E21" s="29"/>
      <c r="F21" s="68"/>
      <c r="G21" s="69"/>
      <c r="H21" s="69"/>
      <c r="I21" s="28" t="s">
        <v>214</v>
      </c>
      <c r="J21" s="13"/>
    </row>
    <row r="22" ht="20" customHeight="1" spans="1:10" x14ac:dyDescent="0.25">
      <c r="A22" s="70">
        <v>16</v>
      </c>
      <c r="B22" s="71" t="s">
        <v>219</v>
      </c>
      <c r="C22" s="41" t="s">
        <v>105</v>
      </c>
      <c r="D22" s="42" t="s">
        <v>86</v>
      </c>
      <c r="E22" s="29"/>
      <c r="F22" s="68"/>
      <c r="G22" s="69"/>
      <c r="H22" s="69"/>
      <c r="I22" s="42" t="s">
        <v>214</v>
      </c>
      <c r="J22" s="13"/>
    </row>
    <row r="23" ht="20" customHeight="1" spans="1:10" x14ac:dyDescent="0.25">
      <c r="A23" s="66">
        <v>17</v>
      </c>
      <c r="B23" s="67" t="s">
        <v>219</v>
      </c>
      <c r="C23" s="27" t="s">
        <v>98</v>
      </c>
      <c r="D23" s="28" t="s">
        <v>86</v>
      </c>
      <c r="E23" s="29"/>
      <c r="F23" s="68"/>
      <c r="G23" s="69"/>
      <c r="H23" s="69"/>
      <c r="I23" s="28" t="s">
        <v>214</v>
      </c>
      <c r="J23" s="13"/>
    </row>
    <row r="24" ht="20" customHeight="1" spans="1:10" x14ac:dyDescent="0.25">
      <c r="A24" s="70">
        <v>18</v>
      </c>
      <c r="B24" s="71" t="s">
        <v>219</v>
      </c>
      <c r="C24" s="41" t="s">
        <v>99</v>
      </c>
      <c r="D24" s="42" t="s">
        <v>86</v>
      </c>
      <c r="E24" s="29"/>
      <c r="F24" s="68"/>
      <c r="G24" s="69"/>
      <c r="H24" s="69"/>
      <c r="I24" s="42" t="s">
        <v>214</v>
      </c>
      <c r="J24" s="13"/>
    </row>
    <row r="25" ht="18" customHeight="1" spans="1:10" x14ac:dyDescent="0.25">
      <c r="A25" s="65" t="s">
        <v>220</v>
      </c>
      <c r="B25" s="5"/>
      <c r="C25" s="5"/>
      <c r="D25" s="5"/>
      <c r="E25" s="5"/>
      <c r="F25" s="5"/>
      <c r="G25" s="5"/>
      <c r="H25" s="5"/>
      <c r="I25" s="5"/>
      <c r="J25" s="6"/>
    </row>
    <row r="26" ht="20" customHeight="1" spans="1:10" x14ac:dyDescent="0.25">
      <c r="A26" s="66">
        <v>19</v>
      </c>
      <c r="B26" s="67" t="s">
        <v>221</v>
      </c>
      <c r="C26" s="27" t="s">
        <v>100</v>
      </c>
      <c r="D26" s="28" t="s">
        <v>101</v>
      </c>
      <c r="E26" s="29"/>
      <c r="F26" s="68"/>
      <c r="G26" s="69"/>
      <c r="H26" s="69"/>
      <c r="I26" s="28" t="s">
        <v>214</v>
      </c>
      <c r="J26" s="13"/>
    </row>
    <row r="27" ht="20" customHeight="1" spans="1:10" x14ac:dyDescent="0.25">
      <c r="A27" s="70">
        <v>20</v>
      </c>
      <c r="B27" s="71" t="s">
        <v>221</v>
      </c>
      <c r="C27" s="41" t="s">
        <v>113</v>
      </c>
      <c r="D27" s="42" t="s">
        <v>88</v>
      </c>
      <c r="E27" s="29"/>
      <c r="F27" s="68"/>
      <c r="G27" s="69"/>
      <c r="H27" s="69"/>
      <c r="I27" s="42" t="s">
        <v>214</v>
      </c>
      <c r="J27" s="13"/>
    </row>
    <row r="28" ht="20" customHeight="1" spans="1:10" x14ac:dyDescent="0.25">
      <c r="A28" s="66">
        <v>21</v>
      </c>
      <c r="B28" s="67" t="s">
        <v>221</v>
      </c>
      <c r="C28" s="27" t="s">
        <v>222</v>
      </c>
      <c r="D28" s="28" t="s">
        <v>101</v>
      </c>
      <c r="E28" s="29"/>
      <c r="F28" s="68"/>
      <c r="G28" s="69"/>
      <c r="H28" s="69"/>
      <c r="I28" s="28" t="s">
        <v>214</v>
      </c>
      <c r="J28" s="13"/>
    </row>
    <row r="29" ht="20" customHeight="1" spans="1:10" x14ac:dyDescent="0.25">
      <c r="A29" s="70">
        <v>22</v>
      </c>
      <c r="B29" s="71" t="s">
        <v>221</v>
      </c>
      <c r="C29" s="41" t="s">
        <v>93</v>
      </c>
      <c r="D29" s="42" t="s">
        <v>69</v>
      </c>
      <c r="E29" s="29"/>
      <c r="F29" s="68"/>
      <c r="G29" s="69"/>
      <c r="H29" s="69"/>
      <c r="I29" s="42" t="s">
        <v>214</v>
      </c>
      <c r="J29" s="13"/>
    </row>
    <row r="30" ht="20" customHeight="1" spans="1:10" x14ac:dyDescent="0.25">
      <c r="A30" s="66">
        <v>23</v>
      </c>
      <c r="B30" s="67" t="s">
        <v>221</v>
      </c>
      <c r="C30" s="27" t="s">
        <v>94</v>
      </c>
      <c r="D30" s="28" t="s">
        <v>95</v>
      </c>
      <c r="E30" s="29"/>
      <c r="F30" s="68"/>
      <c r="G30" s="69"/>
      <c r="H30" s="69"/>
      <c r="I30" s="28" t="s">
        <v>214</v>
      </c>
      <c r="J30" s="13"/>
    </row>
    <row r="31" ht="20" customHeight="1" spans="1:10" x14ac:dyDescent="0.25">
      <c r="A31" s="70">
        <v>24</v>
      </c>
      <c r="B31" s="71" t="s">
        <v>221</v>
      </c>
      <c r="C31" s="41" t="s">
        <v>142</v>
      </c>
      <c r="D31" s="42" t="s">
        <v>122</v>
      </c>
      <c r="E31" s="29"/>
      <c r="F31" s="68"/>
      <c r="G31" s="69"/>
      <c r="H31" s="69"/>
      <c r="I31" s="42" t="s">
        <v>214</v>
      </c>
      <c r="J31" s="13"/>
    </row>
    <row r="32" ht="18" customHeight="1" spans="1:10" x14ac:dyDescent="0.25">
      <c r="A32" s="65" t="s">
        <v>223</v>
      </c>
      <c r="B32" s="5"/>
      <c r="C32" s="5"/>
      <c r="D32" s="5"/>
      <c r="E32" s="5"/>
      <c r="F32" s="5"/>
      <c r="G32" s="5"/>
      <c r="H32" s="5"/>
      <c r="I32" s="5"/>
      <c r="J32" s="6"/>
    </row>
    <row r="33" ht="20" customHeight="1" spans="1:10" x14ac:dyDescent="0.25">
      <c r="A33" s="66">
        <v>25</v>
      </c>
      <c r="B33" s="67" t="s">
        <v>224</v>
      </c>
      <c r="C33" s="27" t="s">
        <v>109</v>
      </c>
      <c r="D33" s="28" t="s">
        <v>86</v>
      </c>
      <c r="E33" s="29"/>
      <c r="F33" s="68"/>
      <c r="G33" s="69"/>
      <c r="H33" s="69"/>
      <c r="I33" s="28" t="s">
        <v>214</v>
      </c>
      <c r="J33" s="13"/>
    </row>
    <row r="34" ht="20" customHeight="1" spans="1:10" x14ac:dyDescent="0.25">
      <c r="A34" s="70">
        <v>26</v>
      </c>
      <c r="B34" s="71" t="s">
        <v>224</v>
      </c>
      <c r="C34" s="41" t="s">
        <v>110</v>
      </c>
      <c r="D34" s="42" t="s">
        <v>86</v>
      </c>
      <c r="E34" s="29"/>
      <c r="F34" s="68"/>
      <c r="G34" s="69"/>
      <c r="H34" s="69"/>
      <c r="I34" s="42" t="s">
        <v>214</v>
      </c>
      <c r="J34" s="13"/>
    </row>
    <row r="35" ht="20" customHeight="1" spans="1:10" x14ac:dyDescent="0.25">
      <c r="A35" s="66">
        <v>27</v>
      </c>
      <c r="B35" s="67" t="s">
        <v>224</v>
      </c>
      <c r="C35" s="27" t="s">
        <v>111</v>
      </c>
      <c r="D35" s="28" t="s">
        <v>69</v>
      </c>
      <c r="E35" s="29"/>
      <c r="F35" s="68"/>
      <c r="G35" s="69"/>
      <c r="H35" s="69"/>
      <c r="I35" s="28" t="s">
        <v>214</v>
      </c>
      <c r="J35" s="13"/>
    </row>
    <row r="36" ht="20" customHeight="1" spans="1:10" x14ac:dyDescent="0.25">
      <c r="A36" s="70">
        <v>28</v>
      </c>
      <c r="B36" s="71" t="s">
        <v>224</v>
      </c>
      <c r="C36" s="41" t="s">
        <v>112</v>
      </c>
      <c r="D36" s="42" t="s">
        <v>69</v>
      </c>
      <c r="E36" s="29"/>
      <c r="F36" s="68"/>
      <c r="G36" s="69"/>
      <c r="H36" s="69"/>
      <c r="I36" s="42" t="s">
        <v>214</v>
      </c>
      <c r="J36" s="13"/>
    </row>
    <row r="37" ht="20" customHeight="1" spans="1:10" x14ac:dyDescent="0.25">
      <c r="A37" s="66">
        <v>29</v>
      </c>
      <c r="B37" s="67" t="s">
        <v>224</v>
      </c>
      <c r="C37" s="27" t="s">
        <v>143</v>
      </c>
      <c r="D37" s="28" t="s">
        <v>95</v>
      </c>
      <c r="E37" s="29"/>
      <c r="F37" s="68"/>
      <c r="G37" s="69"/>
      <c r="H37" s="69"/>
      <c r="I37" s="28" t="s">
        <v>214</v>
      </c>
      <c r="J37" s="13"/>
    </row>
    <row r="38" ht="18" customHeight="1" spans="1:10" x14ac:dyDescent="0.25">
      <c r="A38" s="65" t="s">
        <v>225</v>
      </c>
      <c r="B38" s="5"/>
      <c r="C38" s="5"/>
      <c r="D38" s="5"/>
      <c r="E38" s="5"/>
      <c r="F38" s="5"/>
      <c r="G38" s="5"/>
      <c r="H38" s="5"/>
      <c r="I38" s="5"/>
      <c r="J38" s="6"/>
    </row>
    <row r="39" ht="20" customHeight="1" spans="1:10" x14ac:dyDescent="0.25">
      <c r="A39" s="70">
        <v>30</v>
      </c>
      <c r="B39" s="71" t="s">
        <v>115</v>
      </c>
      <c r="C39" s="41" t="s">
        <v>226</v>
      </c>
      <c r="D39" s="42" t="s">
        <v>86</v>
      </c>
      <c r="E39" s="29"/>
      <c r="F39" s="68"/>
      <c r="G39" s="69"/>
      <c r="H39" s="69"/>
      <c r="I39" s="42" t="s">
        <v>214</v>
      </c>
      <c r="J39" s="13"/>
    </row>
    <row r="40" ht="20" customHeight="1" spans="1:10" x14ac:dyDescent="0.25">
      <c r="A40" s="66">
        <v>31</v>
      </c>
      <c r="B40" s="67" t="s">
        <v>115</v>
      </c>
      <c r="C40" s="27" t="s">
        <v>227</v>
      </c>
      <c r="D40" s="28" t="s">
        <v>86</v>
      </c>
      <c r="E40" s="29"/>
      <c r="F40" s="68"/>
      <c r="G40" s="69"/>
      <c r="H40" s="69"/>
      <c r="I40" s="28" t="s">
        <v>214</v>
      </c>
      <c r="J40" s="13"/>
    </row>
    <row r="41" ht="20" customHeight="1" spans="1:10" x14ac:dyDescent="0.25">
      <c r="A41" s="70">
        <v>32</v>
      </c>
      <c r="B41" s="71" t="s">
        <v>115</v>
      </c>
      <c r="C41" s="41" t="s">
        <v>228</v>
      </c>
      <c r="D41" s="42" t="s">
        <v>86</v>
      </c>
      <c r="E41" s="29"/>
      <c r="F41" s="68"/>
      <c r="G41" s="69"/>
      <c r="H41" s="69"/>
      <c r="I41" s="42" t="s">
        <v>214</v>
      </c>
      <c r="J41" s="13"/>
    </row>
    <row r="42" ht="18" customHeight="1" spans="1:10" x14ac:dyDescent="0.25">
      <c r="A42" s="65" t="s">
        <v>229</v>
      </c>
      <c r="B42" s="5"/>
      <c r="C42" s="5"/>
      <c r="D42" s="5"/>
      <c r="E42" s="5"/>
      <c r="F42" s="5"/>
      <c r="G42" s="5"/>
      <c r="H42" s="5"/>
      <c r="I42" s="5"/>
      <c r="J42" s="6"/>
    </row>
    <row r="43" ht="20" customHeight="1" spans="1:10" x14ac:dyDescent="0.25">
      <c r="A43" s="66">
        <v>33</v>
      </c>
      <c r="B43" s="67" t="s">
        <v>132</v>
      </c>
      <c r="C43" s="27" t="s">
        <v>133</v>
      </c>
      <c r="D43" s="28" t="s">
        <v>86</v>
      </c>
      <c r="E43" s="29"/>
      <c r="F43" s="68"/>
      <c r="G43" s="69"/>
      <c r="H43" s="69"/>
      <c r="I43" s="28" t="s">
        <v>214</v>
      </c>
      <c r="J43" s="13"/>
    </row>
    <row r="44" ht="20" customHeight="1" spans="1:10" x14ac:dyDescent="0.25">
      <c r="A44" s="70">
        <v>34</v>
      </c>
      <c r="B44" s="71" t="s">
        <v>132</v>
      </c>
      <c r="C44" s="41" t="s">
        <v>134</v>
      </c>
      <c r="D44" s="42" t="s">
        <v>86</v>
      </c>
      <c r="E44" s="29"/>
      <c r="F44" s="68"/>
      <c r="G44" s="69"/>
      <c r="H44" s="69"/>
      <c r="I44" s="42" t="s">
        <v>214</v>
      </c>
      <c r="J44" s="13"/>
    </row>
    <row r="45" ht="20" customHeight="1" spans="1:10" x14ac:dyDescent="0.25">
      <c r="A45" s="66">
        <v>35</v>
      </c>
      <c r="B45" s="67" t="s">
        <v>132</v>
      </c>
      <c r="C45" s="27" t="s">
        <v>135</v>
      </c>
      <c r="D45" s="28" t="s">
        <v>79</v>
      </c>
      <c r="E45" s="29"/>
      <c r="F45" s="68"/>
      <c r="G45" s="69"/>
      <c r="H45" s="69"/>
      <c r="I45" s="28" t="s">
        <v>214</v>
      </c>
      <c r="J45" s="13"/>
    </row>
    <row r="46" ht="20" customHeight="1" spans="1:10" x14ac:dyDescent="0.25">
      <c r="A46" s="70">
        <v>36</v>
      </c>
      <c r="B46" s="71" t="s">
        <v>132</v>
      </c>
      <c r="C46" s="41" t="s">
        <v>136</v>
      </c>
      <c r="D46" s="42" t="s">
        <v>79</v>
      </c>
      <c r="E46" s="29"/>
      <c r="F46" s="68"/>
      <c r="G46" s="69"/>
      <c r="H46" s="69"/>
      <c r="I46" s="42" t="s">
        <v>214</v>
      </c>
      <c r="J46" s="13"/>
    </row>
    <row r="47" ht="20" customHeight="1" spans="1:10" x14ac:dyDescent="0.25">
      <c r="A47" s="66">
        <v>37</v>
      </c>
      <c r="B47" s="67" t="s">
        <v>132</v>
      </c>
      <c r="C47" s="27" t="s">
        <v>137</v>
      </c>
      <c r="D47" s="28" t="s">
        <v>138</v>
      </c>
      <c r="E47" s="29"/>
      <c r="F47" s="68"/>
      <c r="G47" s="69"/>
      <c r="H47" s="69"/>
      <c r="I47" s="28" t="s">
        <v>214</v>
      </c>
      <c r="J47" s="13"/>
    </row>
    <row r="48" ht="20" customHeight="1" spans="1:10" x14ac:dyDescent="0.25">
      <c r="A48" s="70">
        <v>38</v>
      </c>
      <c r="B48" s="71" t="s">
        <v>132</v>
      </c>
      <c r="C48" s="41" t="s">
        <v>230</v>
      </c>
      <c r="D48" s="42" t="s">
        <v>95</v>
      </c>
      <c r="E48" s="29"/>
      <c r="F48" s="68"/>
      <c r="G48" s="69"/>
      <c r="H48" s="69"/>
      <c r="I48" s="42" t="s">
        <v>214</v>
      </c>
      <c r="J48" s="13"/>
    </row>
    <row r="49" ht="18" customHeight="1" spans="1:10" x14ac:dyDescent="0.25">
      <c r="A49" s="65" t="s">
        <v>231</v>
      </c>
      <c r="B49" s="5"/>
      <c r="C49" s="5"/>
      <c r="D49" s="5"/>
      <c r="E49" s="5"/>
      <c r="F49" s="5"/>
      <c r="G49" s="5"/>
      <c r="H49" s="5"/>
      <c r="I49" s="5"/>
      <c r="J49" s="6"/>
    </row>
    <row r="50" ht="20" customHeight="1" spans="1:10" x14ac:dyDescent="0.25">
      <c r="A50" s="66">
        <v>39</v>
      </c>
      <c r="B50" s="67" t="s">
        <v>120</v>
      </c>
      <c r="C50" s="27" t="s">
        <v>232</v>
      </c>
      <c r="D50" s="28" t="s">
        <v>122</v>
      </c>
      <c r="E50" s="29"/>
      <c r="F50" s="68"/>
      <c r="G50" s="69"/>
      <c r="H50" s="69"/>
      <c r="I50" s="28" t="s">
        <v>214</v>
      </c>
      <c r="J50" s="13"/>
    </row>
    <row r="51" ht="20" customHeight="1" spans="1:10" x14ac:dyDescent="0.25">
      <c r="A51" s="70">
        <v>40</v>
      </c>
      <c r="B51" s="71" t="s">
        <v>120</v>
      </c>
      <c r="C51" s="41" t="s">
        <v>123</v>
      </c>
      <c r="D51" s="42" t="s">
        <v>122</v>
      </c>
      <c r="E51" s="29"/>
      <c r="F51" s="68"/>
      <c r="G51" s="69"/>
      <c r="H51" s="69"/>
      <c r="I51" s="42" t="s">
        <v>214</v>
      </c>
      <c r="J51" s="13"/>
    </row>
    <row r="52" ht="20" customHeight="1" spans="1:10" x14ac:dyDescent="0.25">
      <c r="A52" s="66">
        <v>41</v>
      </c>
      <c r="B52" s="67" t="s">
        <v>120</v>
      </c>
      <c r="C52" s="27" t="s">
        <v>233</v>
      </c>
      <c r="D52" s="28" t="s">
        <v>79</v>
      </c>
      <c r="E52" s="29"/>
      <c r="F52" s="68"/>
      <c r="G52" s="69"/>
      <c r="H52" s="69"/>
      <c r="I52" s="28" t="s">
        <v>214</v>
      </c>
      <c r="J52" s="13"/>
    </row>
    <row r="53" ht="20" customHeight="1" spans="1:10" x14ac:dyDescent="0.25">
      <c r="A53" s="70">
        <v>42</v>
      </c>
      <c r="B53" s="71" t="s">
        <v>120</v>
      </c>
      <c r="C53" s="41" t="s">
        <v>125</v>
      </c>
      <c r="D53" s="42" t="s">
        <v>95</v>
      </c>
      <c r="E53" s="29"/>
      <c r="F53" s="68"/>
      <c r="G53" s="69"/>
      <c r="H53" s="69"/>
      <c r="I53" s="42" t="s">
        <v>214</v>
      </c>
      <c r="J53" s="13"/>
    </row>
    <row r="54" ht="18" customHeight="1" spans="1:10" x14ac:dyDescent="0.25">
      <c r="A54" s="65" t="s">
        <v>234</v>
      </c>
      <c r="B54" s="5"/>
      <c r="C54" s="5"/>
      <c r="D54" s="5"/>
      <c r="E54" s="5"/>
      <c r="F54" s="5"/>
      <c r="G54" s="5"/>
      <c r="H54" s="5"/>
      <c r="I54" s="5"/>
      <c r="J54" s="6"/>
    </row>
    <row r="55" ht="20" customHeight="1" spans="1:10" x14ac:dyDescent="0.25">
      <c r="A55" s="66">
        <v>43</v>
      </c>
      <c r="B55" s="67" t="s">
        <v>127</v>
      </c>
      <c r="C55" s="27" t="s">
        <v>235</v>
      </c>
      <c r="D55" s="28" t="s">
        <v>122</v>
      </c>
      <c r="E55" s="29"/>
      <c r="F55" s="68"/>
      <c r="G55" s="69"/>
      <c r="H55" s="69"/>
      <c r="I55" s="28" t="s">
        <v>214</v>
      </c>
      <c r="J55" s="13"/>
    </row>
    <row r="56" ht="20" customHeight="1" spans="1:10" x14ac:dyDescent="0.25">
      <c r="A56" s="70">
        <v>44</v>
      </c>
      <c r="B56" s="71" t="s">
        <v>127</v>
      </c>
      <c r="C56" s="41" t="s">
        <v>236</v>
      </c>
      <c r="D56" s="42" t="s">
        <v>122</v>
      </c>
      <c r="E56" s="29"/>
      <c r="F56" s="68"/>
      <c r="G56" s="69"/>
      <c r="H56" s="69"/>
      <c r="I56" s="42" t="s">
        <v>214</v>
      </c>
      <c r="J56" s="13"/>
    </row>
    <row r="57" ht="20" customHeight="1" spans="1:10" x14ac:dyDescent="0.25">
      <c r="A57" s="66">
        <v>45</v>
      </c>
      <c r="B57" s="67" t="s">
        <v>127</v>
      </c>
      <c r="C57" s="27" t="s">
        <v>130</v>
      </c>
      <c r="D57" s="28" t="s">
        <v>122</v>
      </c>
      <c r="E57" s="29"/>
      <c r="F57" s="68"/>
      <c r="G57" s="69"/>
      <c r="H57" s="69"/>
      <c r="I57" s="28" t="s">
        <v>214</v>
      </c>
      <c r="J57" s="13"/>
    </row>
    <row r="58" ht="18" customHeight="1" spans="1:10" x14ac:dyDescent="0.25">
      <c r="A58" s="65" t="s">
        <v>237</v>
      </c>
      <c r="B58" s="5"/>
      <c r="C58" s="5"/>
      <c r="D58" s="5"/>
      <c r="E58" s="5"/>
      <c r="F58" s="5"/>
      <c r="G58" s="5"/>
      <c r="H58" s="5"/>
      <c r="I58" s="5"/>
      <c r="J58" s="6"/>
    </row>
    <row r="59" ht="20" customHeight="1" spans="1:10" x14ac:dyDescent="0.25">
      <c r="A59" s="70">
        <v>46</v>
      </c>
      <c r="B59" s="71" t="s">
        <v>238</v>
      </c>
      <c r="C59" s="41" t="s">
        <v>239</v>
      </c>
      <c r="D59" s="42" t="s">
        <v>122</v>
      </c>
      <c r="E59" s="29"/>
      <c r="F59" s="68"/>
      <c r="G59" s="69"/>
      <c r="H59" s="69"/>
      <c r="I59" s="42" t="s">
        <v>214</v>
      </c>
      <c r="J59" s="13"/>
    </row>
    <row r="60" ht="20" customHeight="1" spans="1:10" x14ac:dyDescent="0.25">
      <c r="A60" s="66">
        <v>47</v>
      </c>
      <c r="B60" s="67" t="s">
        <v>238</v>
      </c>
      <c r="C60" s="27" t="s">
        <v>149</v>
      </c>
      <c r="D60" s="28" t="s">
        <v>86</v>
      </c>
      <c r="E60" s="29"/>
      <c r="F60" s="68"/>
      <c r="G60" s="69"/>
      <c r="H60" s="69"/>
      <c r="I60" s="28" t="s">
        <v>214</v>
      </c>
      <c r="J60" s="13"/>
    </row>
    <row r="61" ht="20" customHeight="1" spans="1:10" x14ac:dyDescent="0.25">
      <c r="A61" s="70">
        <v>48</v>
      </c>
      <c r="B61" s="71" t="s">
        <v>238</v>
      </c>
      <c r="C61" s="41" t="s">
        <v>240</v>
      </c>
      <c r="D61" s="42" t="s">
        <v>145</v>
      </c>
      <c r="E61" s="29"/>
      <c r="F61" s="68"/>
      <c r="G61" s="69"/>
      <c r="H61" s="69"/>
      <c r="I61" s="42" t="s">
        <v>214</v>
      </c>
      <c r="J61" s="13"/>
    </row>
    <row r="62" ht="20" customHeight="1" spans="1:10" x14ac:dyDescent="0.25">
      <c r="A62" s="66">
        <v>49</v>
      </c>
      <c r="B62" s="67" t="s">
        <v>238</v>
      </c>
      <c r="C62" s="27" t="s">
        <v>144</v>
      </c>
      <c r="D62" s="28" t="s">
        <v>145</v>
      </c>
      <c r="E62" s="29"/>
      <c r="F62" s="68"/>
      <c r="G62" s="69"/>
      <c r="H62" s="69"/>
      <c r="I62" s="28" t="s">
        <v>214</v>
      </c>
      <c r="J62" s="13"/>
    </row>
    <row r="63" ht="20" customHeight="1" spans="1:10" x14ac:dyDescent="0.25">
      <c r="A63" s="70">
        <v>50</v>
      </c>
      <c r="B63" s="71" t="s">
        <v>238</v>
      </c>
      <c r="C63" s="41" t="s">
        <v>241</v>
      </c>
      <c r="D63" s="42" t="s">
        <v>79</v>
      </c>
      <c r="E63" s="29"/>
      <c r="F63" s="68"/>
      <c r="G63" s="69"/>
      <c r="H63" s="69"/>
      <c r="I63" s="42" t="s">
        <v>214</v>
      </c>
      <c r="J63" s="13"/>
    </row>
    <row r="64" ht="18" customHeight="1" spans="1:10" x14ac:dyDescent="0.25">
      <c r="A64" s="65" t="s">
        <v>242</v>
      </c>
      <c r="B64" s="5"/>
      <c r="C64" s="5"/>
      <c r="D64" s="5"/>
      <c r="E64" s="5"/>
      <c r="F64" s="5"/>
      <c r="G64" s="5"/>
      <c r="H64" s="5"/>
      <c r="I64" s="5"/>
      <c r="J64" s="6"/>
    </row>
    <row r="65" ht="20" customHeight="1" spans="1:10" x14ac:dyDescent="0.25">
      <c r="A65" s="66">
        <v>51</v>
      </c>
      <c r="B65" s="67" t="s">
        <v>151</v>
      </c>
      <c r="C65" s="27" t="s">
        <v>153</v>
      </c>
      <c r="D65" s="28" t="s">
        <v>88</v>
      </c>
      <c r="E65" s="29"/>
      <c r="F65" s="68"/>
      <c r="G65" s="69"/>
      <c r="H65" s="69"/>
      <c r="I65" s="28" t="s">
        <v>214</v>
      </c>
      <c r="J65" s="13"/>
    </row>
    <row r="66" ht="20" customHeight="1" spans="1:10" x14ac:dyDescent="0.25">
      <c r="A66" s="70">
        <v>52</v>
      </c>
      <c r="B66" s="71" t="s">
        <v>151</v>
      </c>
      <c r="C66" s="41" t="s">
        <v>155</v>
      </c>
      <c r="D66" s="42" t="s">
        <v>82</v>
      </c>
      <c r="E66" s="29"/>
      <c r="F66" s="68"/>
      <c r="G66" s="69"/>
      <c r="H66" s="69"/>
      <c r="I66" s="42" t="s">
        <v>214</v>
      </c>
      <c r="J66" s="13"/>
    </row>
    <row r="67" ht="20" customHeight="1" spans="1:10" x14ac:dyDescent="0.25">
      <c r="A67" s="66">
        <v>53</v>
      </c>
      <c r="B67" s="67" t="s">
        <v>151</v>
      </c>
      <c r="C67" s="27" t="s">
        <v>243</v>
      </c>
      <c r="D67" s="28" t="s">
        <v>122</v>
      </c>
      <c r="E67" s="29"/>
      <c r="F67" s="68"/>
      <c r="G67" s="69"/>
      <c r="H67" s="69"/>
      <c r="I67" s="28" t="s">
        <v>214</v>
      </c>
      <c r="J67" s="13"/>
    </row>
  </sheetData>
  <mergeCells count="13">
    <mergeCell ref="A1:J1"/>
    <mergeCell ref="A2:J2"/>
    <mergeCell ref="A3:J3"/>
    <mergeCell ref="A5:J5"/>
    <mergeCell ref="A16:J16"/>
    <mergeCell ref="A25:J25"/>
    <mergeCell ref="A32:J32"/>
    <mergeCell ref="A38:J38"/>
    <mergeCell ref="A42:J42"/>
    <mergeCell ref="A49:J49"/>
    <mergeCell ref="A54:J54"/>
    <mergeCell ref="A58:J58"/>
    <mergeCell ref="A64:J64"/>
  </mergeCells>
  <dataValidations count="22">
    <dataValidation type="list" allowBlank="1" showInputMessage="1" promptTitle="Pick value" prompt="Select unit" showErrorMessage="1" errorTitle="Invalid Entry" error="Please select from the dropdown list" sqref="D10:D15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17:D24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26:D31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33:D37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39:D41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43:D48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50:D53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55:D57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59:D63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6:D15">
      <formula1>"KG,SFT,SQM,RFT,MTR,CFT,Nos,Lot,Tubes,Set"</formula1>
    </dataValidation>
    <dataValidation type="list" allowBlank="1" showInputMessage="1" promptTitle="Pick value" prompt="Select unit" showErrorMessage="1" errorTitle="Invalid Entry" error="Please select from the dropdown list" sqref="D65:D67">
      <formula1>"KG,SFT,SQM,RFT,MTR,CFT,Nos,Lot,Tubes,Set"</formula1>
    </dataValidation>
    <dataValidation type="list" allowBlank="1" showInputMessage="1" promptTitle="Pick value" prompt="Factory / Site / Both" showErrorMessage="1" errorTitle="Invalid Entry" error="Please select from the dropdown list" sqref="I10:I15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17:I24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26:I31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33:I37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39:I41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43:I48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50:I53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55:I57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59:I63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6:I15">
      <formula1>"Factory,Site,Both"</formula1>
    </dataValidation>
    <dataValidation type="list" allowBlank="1" showInputMessage="1" promptTitle="Pick value" prompt="Factory / Site / Both" showErrorMessage="1" errorTitle="Invalid Entry" error="Please select from the dropdown list" sqref="I65:I67">
      <formula1>"Factory,Site,Both"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8" customWidth="1"/>
    <col min="3" max="3" width="10" customWidth="1"/>
    <col min="4" max="4" width="20" customWidth="1"/>
    <col min="5" max="5" width="32" customWidth="1"/>
  </cols>
  <sheetData>
    <row r="1" ht="24" customHeight="1" spans="1:5" x14ac:dyDescent="0.25">
      <c r="A1" s="1" t="s">
        <v>244</v>
      </c>
      <c r="B1" s="1"/>
      <c r="C1" s="1"/>
      <c r="D1" s="1"/>
      <c r="E1" s="1"/>
    </row>
    <row r="2" ht="20" customHeight="1" spans="1:5" x14ac:dyDescent="0.25">
      <c r="A2" s="17" t="s">
        <v>245</v>
      </c>
      <c r="B2" s="17"/>
      <c r="C2" s="17"/>
      <c r="D2" s="17"/>
      <c r="E2" s="17"/>
    </row>
    <row r="3" ht="18" customHeight="1" spans="1:5" x14ac:dyDescent="0.25">
      <c r="A3" s="7" t="s">
        <v>246</v>
      </c>
      <c r="B3" s="7"/>
      <c r="C3" s="7"/>
      <c r="D3" s="7"/>
      <c r="E3" s="7"/>
    </row>
    <row r="4" ht="28" customHeight="1" spans="1:5" x14ac:dyDescent="0.25">
      <c r="A4" s="18" t="s">
        <v>169</v>
      </c>
      <c r="B4" s="18" t="s">
        <v>247</v>
      </c>
      <c r="C4" s="18" t="s">
        <v>248</v>
      </c>
      <c r="D4" s="18" t="s">
        <v>249</v>
      </c>
      <c r="E4" s="18" t="s">
        <v>250</v>
      </c>
    </row>
    <row r="5" spans="1:5" x14ac:dyDescent="0.25">
      <c r="A5" s="72">
        <v>1</v>
      </c>
      <c r="B5" s="72" t="s">
        <v>251</v>
      </c>
      <c r="C5" s="72" t="s">
        <v>251</v>
      </c>
      <c r="D5" s="72" t="s">
        <v>252</v>
      </c>
      <c r="E5" s="72" t="s">
        <v>251</v>
      </c>
    </row>
    <row r="6" spans="1:5" x14ac:dyDescent="0.25">
      <c r="A6" s="72">
        <v>2</v>
      </c>
      <c r="B6" s="72" t="s">
        <v>251</v>
      </c>
      <c r="C6" s="72" t="s">
        <v>251</v>
      </c>
      <c r="D6" s="72" t="s">
        <v>252</v>
      </c>
      <c r="E6" s="72" t="s">
        <v>251</v>
      </c>
    </row>
    <row r="7" spans="1:5" x14ac:dyDescent="0.25">
      <c r="A7" s="72">
        <v>3</v>
      </c>
      <c r="B7" s="72" t="s">
        <v>251</v>
      </c>
      <c r="C7" s="72" t="s">
        <v>251</v>
      </c>
      <c r="D7" s="72" t="s">
        <v>252</v>
      </c>
      <c r="E7" s="72" t="s">
        <v>251</v>
      </c>
    </row>
    <row r="8" spans="1:5" x14ac:dyDescent="0.25">
      <c r="A8" s="72">
        <v>4</v>
      </c>
      <c r="B8" s="72" t="s">
        <v>251</v>
      </c>
      <c r="C8" s="72" t="s">
        <v>251</v>
      </c>
      <c r="D8" s="72" t="s">
        <v>252</v>
      </c>
      <c r="E8" s="72" t="s">
        <v>251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24" customWidth="1"/>
  </cols>
  <sheetData>
    <row r="1" ht="24" customHeight="1" spans="1:3" x14ac:dyDescent="0.25">
      <c r="A1" s="1" t="s">
        <v>253</v>
      </c>
      <c r="B1" s="1"/>
      <c r="C1" s="1"/>
    </row>
    <row r="2" ht="20" customHeight="1" spans="1:3" x14ac:dyDescent="0.25">
      <c r="A2" s="17" t="s">
        <v>254</v>
      </c>
      <c r="B2" s="17"/>
      <c r="C2" s="17"/>
    </row>
    <row r="3" ht="18" customHeight="1" spans="1:3" x14ac:dyDescent="0.25">
      <c r="A3" s="7" t="s">
        <v>255</v>
      </c>
      <c r="B3" s="7"/>
      <c r="C3" s="7"/>
    </row>
    <row r="4" ht="28" customHeight="1" spans="1:3" x14ac:dyDescent="0.25">
      <c r="A4" s="18" t="s">
        <v>256</v>
      </c>
      <c r="B4" s="18" t="s">
        <v>257</v>
      </c>
      <c r="C4" s="18" t="s">
        <v>65</v>
      </c>
    </row>
    <row r="5" spans="1:3" x14ac:dyDescent="0.25">
      <c r="A5" s="72" t="s">
        <v>251</v>
      </c>
      <c r="B5" s="72" t="s">
        <v>251</v>
      </c>
      <c r="C5" s="72" t="s">
        <v>70</v>
      </c>
    </row>
    <row r="6" spans="1:3" x14ac:dyDescent="0.25">
      <c r="A6" s="72" t="s">
        <v>251</v>
      </c>
      <c r="B6" s="72" t="s">
        <v>251</v>
      </c>
      <c r="C6" s="72" t="s">
        <v>258</v>
      </c>
    </row>
    <row r="7" spans="1:3" x14ac:dyDescent="0.25">
      <c r="A7" s="72" t="s">
        <v>251</v>
      </c>
      <c r="B7" s="72" t="s">
        <v>251</v>
      </c>
      <c r="C7" s="72" t="s">
        <v>259</v>
      </c>
    </row>
    <row r="8" spans="1:3" x14ac:dyDescent="0.25">
      <c r="A8" s="72" t="s">
        <v>251</v>
      </c>
      <c r="B8" s="72" t="s">
        <v>251</v>
      </c>
      <c r="C8" s="72" t="s">
        <v>251</v>
      </c>
    </row>
    <row r="9" spans="1:3" x14ac:dyDescent="0.25">
      <c r="A9" s="72" t="s">
        <v>251</v>
      </c>
      <c r="B9" s="72" t="s">
        <v>251</v>
      </c>
      <c r="C9" s="72" t="s">
        <v>251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BOQ + Margin</vt:lpstr>
      <vt:lpstr>Project Schedule</vt:lpstr>
      <vt:lpstr>Material Plan</vt:lpstr>
      <vt:lpstr>Billing Milestones</vt:lpstr>
      <vt:lpstr>Scope of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2026-05-12T19:31:46Z</dcterms:created>
  <dcterms:modified xsi:type="dcterms:W3CDTF">2026-05-12T19:38:30Z</dcterms:modified>
</cp:coreProperties>
</file>